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מקרא" sheetId="1" state="visible" r:id="rId3"/>
    <sheet name="רשימה" sheetId="2" state="visible" r:id="rId4"/>
    <sheet name="רשימות" sheetId="3" state="visible" r:id="rId5"/>
  </sheets>
  <definedNames>
    <definedName function="false" hidden="true" localSheetId="1" name="_xlnm._FilterDatabase" vbProcedure="false">רשימה!$A$1:$AF$199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<sst xmlns="http://schemas.openxmlformats.org/spreadsheetml/2006/main" count="1538" uniqueCount="340">
  <si>
    <t xml:space="preserve">קובץ איתור חוות ומשקים — דרום הארץ</t>
  </si>
  <si>
    <t xml:space="preserve">פרויקט לא ינום · עמותת ארצנו</t>
  </si>
  <si>
    <t xml:space="preserve">מבנה הקובץ — שורה אחת לכל חווה, לא לכל יישוב</t>
  </si>
  <si>
    <t xml:space="preserve">ביישוב אחד יכולים לפעול כמה חקלאים עצמאיים, כל אחד עם השטחים וההסכם שלו.</t>
  </si>
  <si>
    <t xml:space="preserve">להוספת חווה נוספת באותו יישוב: לשכפל את השורה ולשנות שם החווה ושם החקלאי.</t>
  </si>
  <si>
    <t xml:space="preserve">עמודות היישוב (יישוב, סמל, מועצה, קואורדינטות) נשארות זהות בשכפול.</t>
  </si>
  <si>
    <t xml:space="preserve">מקדם שקלול</t>
  </si>
  <si>
    <t xml:space="preserve">מקדם לשטח מעובד</t>
  </si>
  <si>
    <t xml:space="preserve">מקדם לשטח מרעה</t>
  </si>
  <si>
    <t xml:space="preserve">(יחס 1:50 — כל 50 דונם מרעה נספרים כדונם אחד)</t>
  </si>
  <si>
    <t xml:space="preserve">יעד</t>
  </si>
  <si>
    <t xml:space="preserve">יעד דונם משוקלל</t>
  </si>
  <si>
    <t xml:space="preserve">נאסף עד כה</t>
  </si>
  <si>
    <t xml:space="preserve">אחוז מהיעד</t>
  </si>
  <si>
    <t xml:space="preserve">צבעי העמודות</t>
  </si>
  <si>
    <t xml:space="preserve">כחול</t>
  </si>
  <si>
    <t xml:space="preserve">זהות החווה — שם החווה ושם החקלאי. אלה שדות המפתח.</t>
  </si>
  <si>
    <t xml:space="preserve">צהוב</t>
  </si>
  <si>
    <t xml:space="preserve">למילוי ידני בשטח.</t>
  </si>
  <si>
    <t xml:space="preserve">ירוק</t>
  </si>
  <si>
    <t xml:space="preserve">מחושב אוטומטית — לא לגעת.</t>
  </si>
  <si>
    <t xml:space="preserve">כתום</t>
  </si>
  <si>
    <t xml:space="preserve">הערכת סדר גודל ליישוב כולו, לא לחווה. אינה נתון רשמי.</t>
  </si>
  <si>
    <t xml:space="preserve">לבן</t>
  </si>
  <si>
    <t xml:space="preserve">נתוני יישוב מאומתים מהלמ״ס — שם, סמל, מועצה, קואורדינטות.</t>
  </si>
  <si>
    <t xml:space="preserve">שם המקום</t>
  </si>
  <si>
    <t xml:space="preserve">נבנה אוטומטית בתבנית של העמותה:</t>
  </si>
  <si>
    <t xml:space="preserve">שם החווה + שם החקלאי</t>
  </si>
  <si>
    <t xml:space="preserve">חוות ארץ השמש - החווה של עשהאל קורניץ</t>
  </si>
  <si>
    <t xml:space="preserve">רק שם החקלאי</t>
  </si>
  <si>
    <t xml:space="preserve">החווה של אביה לינגר</t>
  </si>
  <si>
    <t xml:space="preserve">אף אחד מהם</t>
  </si>
  <si>
    <t xml:space="preserve">שם היישוב, עד שיתמלא</t>
  </si>
  <si>
    <t xml:space="preserve">סוגי הסכמי קרקע</t>
  </si>
  <si>
    <t xml:space="preserve">חוזה חכירה לדורות</t>
  </si>
  <si>
    <t xml:space="preserve">הזכות החזקה. 4 תקופות מתחדשות של 49 שנה. רמ״י.</t>
  </si>
  <si>
    <t xml:space="preserve">חוזה שכירות משבצת (תלת-צדדי)</t>
  </si>
  <si>
    <t xml:space="preserve">רמ״י + הסוכנות + האגודה. מתחדש כל 3 שנים.</t>
  </si>
  <si>
    <t xml:space="preserve">הסכם הרשאה לרעייה</t>
  </si>
  <si>
    <t xml:space="preserve">בר-רשות בלבד. זכות חלשה, קצובה, לא עבירה ולא ניתנת להורשה.</t>
  </si>
  <si>
    <t xml:space="preserve">הצהרת חקלאים בלבד</t>
  </si>
  <si>
    <t xml:space="preserve">אינו מסמך זכויות. לא מספיק לאימות הבעלות על הקרקע.</t>
  </si>
  <si>
    <t xml:space="preserve">מקורות</t>
  </si>
  <si>
    <t xml:space="preserve">רשימות יישובים וטלפוני מועצות</t>
  </si>
  <si>
    <t xml:space="preserve">mhh.org.il/maparea</t>
  </si>
  <si>
    <t xml:space="preserve">סמל יישוב וקואורדינטות</t>
  </si>
  <si>
    <t xml:space="preserve">קובץ היישובים של הלמ״ס 2021</t>
  </si>
  <si>
    <t xml:space="preserve">מס'</t>
  </si>
  <si>
    <t xml:space="preserve">שם המקום (כפי שיישלח אליהם)</t>
  </si>
  <si>
    <t xml:space="preserve">שם החווה</t>
  </si>
  <si>
    <t xml:space="preserve">שם החקלאי</t>
  </si>
  <si>
    <t xml:space="preserve">נייד החקלאי</t>
  </si>
  <si>
    <t xml:space="preserve">מייל חקלאי</t>
  </si>
  <si>
    <t xml:space="preserve">סוג הישות המשפטית</t>
  </si>
  <si>
    <t xml:space="preserve">ארגון מאגד (אגודה/גד״ש/שח״ם)</t>
  </si>
  <si>
    <t xml:space="preserve">יישוב</t>
  </si>
  <si>
    <t xml:space="preserve">סמל יישוב (למ״ס)</t>
  </si>
  <si>
    <t xml:space="preserve">סוג יישוב</t>
  </si>
  <si>
    <t xml:space="preserve">מועצה אזורית</t>
  </si>
  <si>
    <t xml:space="preserve">אזור (באפליקציה)</t>
  </si>
  <si>
    <t xml:space="preserve">טלפון מרכזיית המועצה</t>
  </si>
  <si>
    <t xml:space="preserve">איש קשר (מועצה/אגודה)</t>
  </si>
  <si>
    <t xml:space="preserve">נייד — איש קשר</t>
  </si>
  <si>
    <t xml:space="preserve">סוג פעילות</t>
  </si>
  <si>
    <t xml:space="preserve">אומדן ליישוב כולו (דונם) — הערכה</t>
  </si>
  <si>
    <t xml:space="preserve">שטח מעובד (דונם)</t>
  </si>
  <si>
    <t xml:space="preserve">שטח מרעה (דונם)</t>
  </si>
  <si>
    <t xml:space="preserve">שטחים שמירה (דונם)</t>
  </si>
  <si>
    <t xml:space="preserve">דונם משוקלל</t>
  </si>
  <si>
    <t xml:space="preserve">הסכם רעיה/חכירה</t>
  </si>
  <si>
    <t xml:space="preserve">תאריך תפוגה הסכם קרקע</t>
  </si>
  <si>
    <t xml:space="preserve">כמות מתנדבים קבועים</t>
  </si>
  <si>
    <t xml:space="preserve">סטטוס</t>
  </si>
  <si>
    <t xml:space="preserve">עדיפות (1-3)</t>
  </si>
  <si>
    <t xml:space="preserve">קו רוחב</t>
  </si>
  <si>
    <t xml:space="preserve">קו אורך</t>
  </si>
  <si>
    <t xml:space="preserve">Google Maps</t>
  </si>
  <si>
    <t xml:space="preserve">Waze</t>
  </si>
  <si>
    <t xml:space="preserve">הערות</t>
  </si>
  <si>
    <t xml:space="preserve">טללים</t>
  </si>
  <si>
    <t xml:space="preserve">קיבוץ</t>
  </si>
  <si>
    <t xml:space="preserve">רמת הנגב</t>
  </si>
  <si>
    <t xml:space="preserve">הנגב</t>
  </si>
  <si>
    <t xml:space="preserve">08-6564111</t>
  </si>
  <si>
    <t xml:space="preserve">מפה</t>
  </si>
  <si>
    <t xml:space="preserve">משאבי שדה</t>
  </si>
  <si>
    <t xml:space="preserve">רביבים</t>
  </si>
  <si>
    <t xml:space="preserve">רתמים</t>
  </si>
  <si>
    <t xml:space="preserve">שדה בוקר</t>
  </si>
  <si>
    <t xml:space="preserve">כמהין</t>
  </si>
  <si>
    <t xml:space="preserve">מושב</t>
  </si>
  <si>
    <t xml:space="preserve">קדש ברנע</t>
  </si>
  <si>
    <t xml:space="preserve">עזוז</t>
  </si>
  <si>
    <t xml:space="preserve">יישוב קהילתי</t>
  </si>
  <si>
    <t xml:space="preserve">אשלים</t>
  </si>
  <si>
    <t xml:space="preserve">חוות בודדים — רמת נגב (כ-23 חוות)</t>
  </si>
  <si>
    <t xml:space="preserve">חוות בודדים</t>
  </si>
  <si>
    <t xml:space="preserve">לבקש את הרשימה השמית מהמועצה — פוטנציאל מרעה גדול</t>
  </si>
  <si>
    <t xml:space="preserve">אורים</t>
  </si>
  <si>
    <t xml:space="preserve">אשכול</t>
  </si>
  <si>
    <t xml:space="preserve">08-9929111</t>
  </si>
  <si>
    <t xml:space="preserve">מועצת עוטף עזה</t>
  </si>
  <si>
    <t xml:space="preserve">בארי</t>
  </si>
  <si>
    <t xml:space="preserve">גבולות</t>
  </si>
  <si>
    <t xml:space="preserve">חולית</t>
  </si>
  <si>
    <t xml:space="preserve">כיסופים</t>
  </si>
  <si>
    <t xml:space="preserve">כרם שלום</t>
  </si>
  <si>
    <t xml:space="preserve">מגן</t>
  </si>
  <si>
    <t xml:space="preserve">ניר יצחק</t>
  </si>
  <si>
    <t xml:space="preserve">ניר עוז</t>
  </si>
  <si>
    <t xml:space="preserve">נירים</t>
  </si>
  <si>
    <t xml:space="preserve">סופה</t>
  </si>
  <si>
    <t xml:space="preserve">עין השלושה</t>
  </si>
  <si>
    <t xml:space="preserve">צאלים</t>
  </si>
  <si>
    <t xml:space="preserve">רעים</t>
  </si>
  <si>
    <t xml:space="preserve">אוהד</t>
  </si>
  <si>
    <t xml:space="preserve">דקל</t>
  </si>
  <si>
    <t xml:space="preserve">יבול</t>
  </si>
  <si>
    <t xml:space="preserve">ישע</t>
  </si>
  <si>
    <t xml:space="preserve">יתד</t>
  </si>
  <si>
    <t xml:space="preserve">מבטחים</t>
  </si>
  <si>
    <t xml:space="preserve">עין הבשור</t>
  </si>
  <si>
    <t xml:space="preserve">עמיעז</t>
  </si>
  <si>
    <t xml:space="preserve">פריגן</t>
  </si>
  <si>
    <t xml:space="preserve">שדה ניצן</t>
  </si>
  <si>
    <t xml:space="preserve">שדה אברהם</t>
  </si>
  <si>
    <t xml:space="preserve">תלמי אליהו</t>
  </si>
  <si>
    <t xml:space="preserve">תלמי יוסף</t>
  </si>
  <si>
    <t xml:space="preserve">נווה</t>
  </si>
  <si>
    <t xml:space="preserve">בני נצרים</t>
  </si>
  <si>
    <t xml:space="preserve">שלומית</t>
  </si>
  <si>
    <t xml:space="preserve">צוחר</t>
  </si>
  <si>
    <t xml:space="preserve">אבשלום</t>
  </si>
  <si>
    <t xml:space="preserve">אשבול</t>
  </si>
  <si>
    <t xml:space="preserve">מרחבים</t>
  </si>
  <si>
    <t xml:space="preserve">08-9929444</t>
  </si>
  <si>
    <t xml:space="preserve">בטחה</t>
  </si>
  <si>
    <t xml:space="preserve">גילת</t>
  </si>
  <si>
    <t xml:space="preserve">מסלול</t>
  </si>
  <si>
    <t xml:space="preserve">ניר משה</t>
  </si>
  <si>
    <t xml:space="preserve">ניר עקיבא</t>
  </si>
  <si>
    <t xml:space="preserve">פדויים</t>
  </si>
  <si>
    <t xml:space="preserve">פטיש</t>
  </si>
  <si>
    <t xml:space="preserve">פעמי תש"ז</t>
  </si>
  <si>
    <t xml:space="preserve">קלחים</t>
  </si>
  <si>
    <t xml:space="preserve">רנן</t>
  </si>
  <si>
    <t xml:space="preserve">שדה צבי</t>
  </si>
  <si>
    <t xml:space="preserve">תלמי ביל"ו</t>
  </si>
  <si>
    <t xml:space="preserve">תפרח</t>
  </si>
  <si>
    <t xml:space="preserve">מבועים</t>
  </si>
  <si>
    <t xml:space="preserve">בית קמה</t>
  </si>
  <si>
    <t xml:space="preserve">בני שמעון</t>
  </si>
  <si>
    <t xml:space="preserve">08-9915811</t>
  </si>
  <si>
    <t xml:space="preserve">דביר</t>
  </si>
  <si>
    <t xml:space="preserve">חצרים</t>
  </si>
  <si>
    <t xml:space="preserve">כרמים</t>
  </si>
  <si>
    <t xml:space="preserve">להב</t>
  </si>
  <si>
    <t xml:space="preserve">משמר הנגב</t>
  </si>
  <si>
    <t xml:space="preserve">שובל</t>
  </si>
  <si>
    <t xml:space="preserve">שומריה</t>
  </si>
  <si>
    <t xml:space="preserve">ברוש</t>
  </si>
  <si>
    <t xml:space="preserve">נבטים</t>
  </si>
  <si>
    <t xml:space="preserve">תאשור</t>
  </si>
  <si>
    <t xml:space="preserve">תדהר</t>
  </si>
  <si>
    <t xml:space="preserve">גבעות בר</t>
  </si>
  <si>
    <t xml:space="preserve">סעד</t>
  </si>
  <si>
    <t xml:space="preserve">שדות נגב</t>
  </si>
  <si>
    <t xml:space="preserve">08-9938933</t>
  </si>
  <si>
    <t xml:space="preserve">עלומים</t>
  </si>
  <si>
    <t xml:space="preserve">בית הגדי</t>
  </si>
  <si>
    <t xml:space="preserve">גבעולים</t>
  </si>
  <si>
    <t xml:space="preserve">זמרת</t>
  </si>
  <si>
    <t xml:space="preserve">זרועה</t>
  </si>
  <si>
    <t xml:space="preserve">יושיביה</t>
  </si>
  <si>
    <t xml:space="preserve">כפר מימון</t>
  </si>
  <si>
    <t xml:space="preserve">מלילות</t>
  </si>
  <si>
    <t xml:space="preserve">שבולים</t>
  </si>
  <si>
    <t xml:space="preserve">שובה</t>
  </si>
  <si>
    <t xml:space="preserve">שוקדה</t>
  </si>
  <si>
    <t xml:space="preserve">שרשרת</t>
  </si>
  <si>
    <t xml:space="preserve">תקומה</t>
  </si>
  <si>
    <t xml:space="preserve">מעגלים</t>
  </si>
  <si>
    <t xml:space="preserve">תושיה</t>
  </si>
  <si>
    <t xml:space="preserve">אור הנר</t>
  </si>
  <si>
    <t xml:space="preserve">שער הנגב</t>
  </si>
  <si>
    <t xml:space="preserve">08-6806225</t>
  </si>
  <si>
    <t xml:space="preserve">ארז</t>
  </si>
  <si>
    <t xml:space="preserve">ברור חיל</t>
  </si>
  <si>
    <t xml:space="preserve">גבים</t>
  </si>
  <si>
    <t xml:space="preserve">דורות</t>
  </si>
  <si>
    <t xml:space="preserve">כפר עזה</t>
  </si>
  <si>
    <t xml:space="preserve">מפלסים</t>
  </si>
  <si>
    <t xml:space="preserve">נחל עוז</t>
  </si>
  <si>
    <t xml:space="preserve">ניר עם</t>
  </si>
  <si>
    <t xml:space="preserve">רוחמה</t>
  </si>
  <si>
    <t xml:space="preserve">יכיני</t>
  </si>
  <si>
    <t xml:space="preserve">חוות השקמים</t>
  </si>
  <si>
    <t xml:space="preserve">גברעם</t>
  </si>
  <si>
    <t xml:space="preserve">חוף אשקלון</t>
  </si>
  <si>
    <t xml:space="preserve">מישור החוף</t>
  </si>
  <si>
    <t xml:space="preserve">08-6775555</t>
  </si>
  <si>
    <t xml:space="preserve">זיקים</t>
  </si>
  <si>
    <t xml:space="preserve">יד מרדכי</t>
  </si>
  <si>
    <t xml:space="preserve">כרמיה</t>
  </si>
  <si>
    <t xml:space="preserve">ניצנים</t>
  </si>
  <si>
    <t xml:space="preserve">בית שקמה</t>
  </si>
  <si>
    <t xml:space="preserve">ברכיה</t>
  </si>
  <si>
    <t xml:space="preserve">גיאה</t>
  </si>
  <si>
    <t xml:space="preserve">הודיה</t>
  </si>
  <si>
    <t xml:space="preserve">חלץ</t>
  </si>
  <si>
    <t xml:space="preserve">כוכב מיכאל</t>
  </si>
  <si>
    <t xml:space="preserve">משען</t>
  </si>
  <si>
    <t xml:space="preserve">ניר ישראל</t>
  </si>
  <si>
    <t xml:space="preserve">נתיב העשרה</t>
  </si>
  <si>
    <t xml:space="preserve">מבקיעים</t>
  </si>
  <si>
    <t xml:space="preserve">מושב שיתופי</t>
  </si>
  <si>
    <t xml:space="preserve">תלמי יפה</t>
  </si>
  <si>
    <t xml:space="preserve">אחוזם</t>
  </si>
  <si>
    <t xml:space="preserve">לכיש</t>
  </si>
  <si>
    <t xml:space="preserve">08-6871666</t>
  </si>
  <si>
    <t xml:space="preserve">זהר</t>
  </si>
  <si>
    <t xml:space="preserve">יד נתן</t>
  </si>
  <si>
    <t xml:space="preserve">מנוחה</t>
  </si>
  <si>
    <t xml:space="preserve">נגה</t>
  </si>
  <si>
    <t xml:space="preserve">ניר חן</t>
  </si>
  <si>
    <t xml:space="preserve">עוצם</t>
  </si>
  <si>
    <t xml:space="preserve">שדה דוד</t>
  </si>
  <si>
    <t xml:space="preserve">שדה משה</t>
  </si>
  <si>
    <t xml:space="preserve">שחר</t>
  </si>
  <si>
    <t xml:space="preserve">תלמים</t>
  </si>
  <si>
    <t xml:space="preserve">שקף</t>
  </si>
  <si>
    <t xml:space="preserve">אמציה</t>
  </si>
  <si>
    <t xml:space="preserve">עין צורים</t>
  </si>
  <si>
    <t xml:space="preserve">שפיר</t>
  </si>
  <si>
    <t xml:space="preserve">08-8508922</t>
  </si>
  <si>
    <t xml:space="preserve">איתן</t>
  </si>
  <si>
    <t xml:space="preserve">זבדיאל</t>
  </si>
  <si>
    <t xml:space="preserve">זרחיה</t>
  </si>
  <si>
    <t xml:space="preserve">נועם</t>
  </si>
  <si>
    <t xml:space="preserve">עוזה</t>
  </si>
  <si>
    <t xml:space="preserve">קוממיות</t>
  </si>
  <si>
    <t xml:space="preserve">רווחה</t>
  </si>
  <si>
    <t xml:space="preserve">שלווה</t>
  </si>
  <si>
    <t xml:space="preserve">משואות יצחק</t>
  </si>
  <si>
    <t xml:space="preserve">בית גוברין</t>
  </si>
  <si>
    <t xml:space="preserve">יואב</t>
  </si>
  <si>
    <t xml:space="preserve">08-8500777</t>
  </si>
  <si>
    <t xml:space="preserve">בית ניר</t>
  </si>
  <si>
    <t xml:space="preserve">גלאון</t>
  </si>
  <si>
    <t xml:space="preserve">גת</t>
  </si>
  <si>
    <t xml:space="preserve">כפר מנחם</t>
  </si>
  <si>
    <t xml:space="preserve">נגבה</t>
  </si>
  <si>
    <t xml:space="preserve">רבדים</t>
  </si>
  <si>
    <t xml:space="preserve">שדה יואב</t>
  </si>
  <si>
    <t xml:space="preserve">כפר הריף</t>
  </si>
  <si>
    <t xml:space="preserve">נחלה</t>
  </si>
  <si>
    <t xml:space="preserve">סגולה</t>
  </si>
  <si>
    <t xml:space="preserve">חצור</t>
  </si>
  <si>
    <t xml:space="preserve">באר טוביה</t>
  </si>
  <si>
    <t xml:space="preserve">08-8509800</t>
  </si>
  <si>
    <t xml:space="preserve">אביגדור</t>
  </si>
  <si>
    <t xml:space="preserve">אורות</t>
  </si>
  <si>
    <t xml:space="preserve">אמונים</t>
  </si>
  <si>
    <t xml:space="preserve">בית עזרא</t>
  </si>
  <si>
    <t xml:space="preserve">בצרון</t>
  </si>
  <si>
    <t xml:space="preserve">גבעתי</t>
  </si>
  <si>
    <t xml:space="preserve">חצב</t>
  </si>
  <si>
    <t xml:space="preserve">ינון</t>
  </si>
  <si>
    <t xml:space="preserve">כפר אחים</t>
  </si>
  <si>
    <t xml:space="preserve">כפר ורבורג</t>
  </si>
  <si>
    <t xml:space="preserve">נוה מבטח</t>
  </si>
  <si>
    <t xml:space="preserve">ניר בנים</t>
  </si>
  <si>
    <t xml:space="preserve">עזריקם</t>
  </si>
  <si>
    <t xml:space="preserve">ערוגות</t>
  </si>
  <si>
    <t xml:space="preserve">שדה עוזיהו</t>
  </si>
  <si>
    <t xml:space="preserve">שתולים</t>
  </si>
  <si>
    <t xml:space="preserve">תלמי יחיאל</t>
  </si>
  <si>
    <t xml:space="preserve">תימורים</t>
  </si>
  <si>
    <t xml:space="preserve">עין גדי</t>
  </si>
  <si>
    <t xml:space="preserve">תמר</t>
  </si>
  <si>
    <t xml:space="preserve">ים המלח</t>
  </si>
  <si>
    <t xml:space="preserve">08-6688989</t>
  </si>
  <si>
    <t xml:space="preserve">נאות הכיכר</t>
  </si>
  <si>
    <t xml:space="preserve">עין חצבה</t>
  </si>
  <si>
    <t xml:space="preserve">עין תמר</t>
  </si>
  <si>
    <t xml:space="preserve">הר עמשא</t>
  </si>
  <si>
    <t xml:space="preserve">עידן</t>
  </si>
  <si>
    <t xml:space="preserve">הערבה התיכונה</t>
  </si>
  <si>
    <t xml:space="preserve">הערבה</t>
  </si>
  <si>
    <t xml:space="preserve">חצבה</t>
  </si>
  <si>
    <t xml:space="preserve">עין יהב</t>
  </si>
  <si>
    <t xml:space="preserve">צופר</t>
  </si>
  <si>
    <t xml:space="preserve">פארן</t>
  </si>
  <si>
    <t xml:space="preserve">ספיר</t>
  </si>
  <si>
    <t xml:space="preserve">צוקים</t>
  </si>
  <si>
    <t xml:space="preserve">אילות</t>
  </si>
  <si>
    <t xml:space="preserve">חבל אילות</t>
  </si>
  <si>
    <t xml:space="preserve">אילת</t>
  </si>
  <si>
    <t xml:space="preserve">08-6355888</t>
  </si>
  <si>
    <t xml:space="preserve">אליפז</t>
  </si>
  <si>
    <t xml:space="preserve">גרופית</t>
  </si>
  <si>
    <t xml:space="preserve">יהל</t>
  </si>
  <si>
    <t xml:space="preserve">יטבתה</t>
  </si>
  <si>
    <t xml:space="preserve">לוטן</t>
  </si>
  <si>
    <t xml:space="preserve">נאות סמדר</t>
  </si>
  <si>
    <t xml:space="preserve">נווה חריף</t>
  </si>
  <si>
    <t xml:space="preserve">סמר</t>
  </si>
  <si>
    <t xml:space="preserve">קטורה</t>
  </si>
  <si>
    <t xml:space="preserve">באר אורה</t>
  </si>
  <si>
    <t xml:space="preserve">שחרות</t>
  </si>
  <si>
    <t xml:space="preserve">בית יתיר</t>
  </si>
  <si>
    <t xml:space="preserve">הר חברון</t>
  </si>
  <si>
    <t xml:space="preserve">יהודה</t>
  </si>
  <si>
    <t xml:space="preserve">02-9969111</t>
  </si>
  <si>
    <t xml:space="preserve">כרמל</t>
  </si>
  <si>
    <t xml:space="preserve">מעון</t>
  </si>
  <si>
    <t xml:space="preserve">חוות בודדים — הר חברון</t>
  </si>
  <si>
    <t xml:space="preserve">לבקש את הרשימה מהמועצה — מרעה נרחב</t>
  </si>
  <si>
    <t xml:space="preserve">עדיפות</t>
  </si>
  <si>
    <t xml:space="preserve">חקלאי פרטי</t>
  </si>
  <si>
    <t xml:space="preserve">מעובד</t>
  </si>
  <si>
    <t xml:space="preserve">לא נוצר קשר</t>
  </si>
  <si>
    <t xml:space="preserve">1</t>
  </si>
  <si>
    <t xml:space="preserve">אגודה שיתופית</t>
  </si>
  <si>
    <t xml:space="preserve">מרעה</t>
  </si>
  <si>
    <t xml:space="preserve">ליצירת קשר</t>
  </si>
  <si>
    <t xml:space="preserve">2</t>
  </si>
  <si>
    <t xml:space="preserve">גד״ש</t>
  </si>
  <si>
    <t xml:space="preserve">מעורב</t>
  </si>
  <si>
    <t xml:space="preserve">נוצר קשר</t>
  </si>
  <si>
    <t xml:space="preserve">3</t>
  </si>
  <si>
    <t xml:space="preserve">שח״ם</t>
  </si>
  <si>
    <t xml:space="preserve">לא ידוע</t>
  </si>
  <si>
    <t xml:space="preserve">הסכם הרשאה זמני</t>
  </si>
  <si>
    <t xml:space="preserve">בוקרה</t>
  </si>
  <si>
    <t xml:space="preserve">הסכמה נחתמה</t>
  </si>
  <si>
    <t xml:space="preserve">אין מסמך</t>
  </si>
  <si>
    <t xml:space="preserve">לא רלוונטי</t>
  </si>
  <si>
    <t xml:space="preserve">רועה/בעל עדר</t>
  </si>
  <si>
    <t xml:space="preserve">ניתן להוסיף ערכים בהמשך כל עמודה — יופיעו אוטומטית ברשימות.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</si>
</sst>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i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BE4D5"/>
      </patternFill>
    </fill>
    <fill>
      <patternFill patternType="solid">
        <fgColor rgb="FFE2EFDA"/>
        <bgColor rgb="FFDDEBF7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BE4D5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BE4D5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BE4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google.com/maps/search/?api=1&amp;query=30.99206,34.76999" TargetMode="External"/><Relationship Id="rId2" Type="http://schemas.openxmlformats.org/officeDocument/2006/relationships/hyperlink" Target="https://waze.com/ul?ll=30.99206,34.76999&amp;navigate=yes" TargetMode="External"/><Relationship Id="rId3" Type="http://schemas.openxmlformats.org/officeDocument/2006/relationships/hyperlink" Target="https://www.google.com/maps/search/?api=1&amp;query=31.00321,34.78617" TargetMode="External"/><Relationship Id="rId4" Type="http://schemas.openxmlformats.org/officeDocument/2006/relationships/hyperlink" Target="https://waze.com/ul?ll=31.00321,34.78617&amp;navigate=yes" TargetMode="External"/><Relationship Id="rId5" Type="http://schemas.openxmlformats.org/officeDocument/2006/relationships/hyperlink" Target="https://www.google.com/maps/search/?api=1&amp;query=31.04393,34.72177" TargetMode="External"/><Relationship Id="rId6" Type="http://schemas.openxmlformats.org/officeDocument/2006/relationships/hyperlink" Target="https://waze.com/ul?ll=31.04393,34.72177&amp;navigate=yes" TargetMode="External"/><Relationship Id="rId7" Type="http://schemas.openxmlformats.org/officeDocument/2006/relationships/hyperlink" Target="https://www.google.com/maps/search/?api=1&amp;query=31.05373,34.68967" TargetMode="External"/><Relationship Id="rId8" Type="http://schemas.openxmlformats.org/officeDocument/2006/relationships/hyperlink" Target="https://waze.com/ul?ll=31.05373,34.68967&amp;navigate=yes" TargetMode="External"/><Relationship Id="rId9" Type="http://schemas.openxmlformats.org/officeDocument/2006/relationships/hyperlink" Target="https://www.google.com/maps/search/?api=1&amp;query=30.87326,34.79311" TargetMode="External"/><Relationship Id="rId10" Type="http://schemas.openxmlformats.org/officeDocument/2006/relationships/hyperlink" Target="https://waze.com/ul?ll=30.87326,34.79311&amp;navigate=yes" TargetMode="External"/><Relationship Id="rId11" Type="http://schemas.openxmlformats.org/officeDocument/2006/relationships/hyperlink" Target="https://www.google.com/maps/search/?api=1&amp;query=30.91066,34.43143" TargetMode="External"/><Relationship Id="rId12" Type="http://schemas.openxmlformats.org/officeDocument/2006/relationships/hyperlink" Target="https://waze.com/ul?ll=30.91066,34.43143&amp;navigate=yes" TargetMode="External"/><Relationship Id="rId13" Type="http://schemas.openxmlformats.org/officeDocument/2006/relationships/hyperlink" Target="https://www.google.com/maps/search/?api=1&amp;query=&#1511;&#1491;&#1513;%20&#1489;&#1512;&#1504;&#1506;%20&#1497;&#1513;&#1512;&#1488;&#1500;" TargetMode="External"/><Relationship Id="rId14" Type="http://schemas.openxmlformats.org/officeDocument/2006/relationships/hyperlink" Target="https://waze.com/ul?q=&#1511;&#1491;&#1513;%20&#1489;&#1512;&#1504;&#1506;" TargetMode="External"/><Relationship Id="rId15" Type="http://schemas.openxmlformats.org/officeDocument/2006/relationships/hyperlink" Target="https://www.google.com/maps/search/?api=1&amp;query=30.7923,34.47271" TargetMode="External"/><Relationship Id="rId16" Type="http://schemas.openxmlformats.org/officeDocument/2006/relationships/hyperlink" Target="https://waze.com/ul?ll=30.7923,34.47271&amp;navigate=yes" TargetMode="External"/><Relationship Id="rId17" Type="http://schemas.openxmlformats.org/officeDocument/2006/relationships/hyperlink" Target="https://www.google.com/maps/search/?api=1&amp;query=30.96448,34.69999" TargetMode="External"/><Relationship Id="rId18" Type="http://schemas.openxmlformats.org/officeDocument/2006/relationships/hyperlink" Target="https://waze.com/ul?ll=30.96448,34.69999&amp;navigate=yes" TargetMode="External"/><Relationship Id="rId19" Type="http://schemas.openxmlformats.org/officeDocument/2006/relationships/hyperlink" Target="https://www.google.com/maps/search/?api=1&amp;query=&#1495;&#1493;&#1493;&#1514;%20&#1489;&#1493;&#1491;&#1491;&#1497;&#1501;%20&#8212;%20&#1512;&#1502;&#1514;%20&#1504;&#1490;&#1489;%20%28&#1499;-23%20&#1495;&#1493;&#1493;&#1514;%29%20&#1497;&#1513;&#1512;&#1488;&#1500;" TargetMode="External"/><Relationship Id="rId20" Type="http://schemas.openxmlformats.org/officeDocument/2006/relationships/hyperlink" Target="https://waze.com/ul?q=&#1495;&#1493;&#1493;&#1514;%20&#1489;&#1493;&#1491;&#1491;&#1497;&#1501;%20&#8212;%20&#1512;&#1502;&#1514;%20&#1504;&#1490;&#1489;%20%28&#1499;-23%20&#1495;&#1493;&#1493;&#1514;%29" TargetMode="External"/><Relationship Id="rId21" Type="http://schemas.openxmlformats.org/officeDocument/2006/relationships/hyperlink" Target="https://www.google.com/maps/search/?api=1&amp;query=31.30413,34.52256" TargetMode="External"/><Relationship Id="rId22" Type="http://schemas.openxmlformats.org/officeDocument/2006/relationships/hyperlink" Target="https://waze.com/ul?ll=31.30413,34.52256&amp;navigate=yes" TargetMode="External"/><Relationship Id="rId23" Type="http://schemas.openxmlformats.org/officeDocument/2006/relationships/hyperlink" Target="https://www.google.com/maps/search/?api=1&amp;query=31.42382,34.49078" TargetMode="External"/><Relationship Id="rId24" Type="http://schemas.openxmlformats.org/officeDocument/2006/relationships/hyperlink" Target="https://waze.com/ul?ll=31.42382,34.49078&amp;navigate=yes" TargetMode="External"/><Relationship Id="rId25" Type="http://schemas.openxmlformats.org/officeDocument/2006/relationships/hyperlink" Target="https://www.google.com/maps/search/?api=1&amp;query=31.21083,34.46541" TargetMode="External"/><Relationship Id="rId26" Type="http://schemas.openxmlformats.org/officeDocument/2006/relationships/hyperlink" Target="https://waze.com/ul?ll=31.21083,34.46541&amp;navigate=yes" TargetMode="External"/><Relationship Id="rId27" Type="http://schemas.openxmlformats.org/officeDocument/2006/relationships/hyperlink" Target="https://www.google.com/maps/search/?api=1&amp;query=31.23061,34.32567" TargetMode="External"/><Relationship Id="rId28" Type="http://schemas.openxmlformats.org/officeDocument/2006/relationships/hyperlink" Target="https://waze.com/ul?ll=31.23061,34.32567&amp;navigate=yes" TargetMode="External"/><Relationship Id="rId29" Type="http://schemas.openxmlformats.org/officeDocument/2006/relationships/hyperlink" Target="https://www.google.com/maps/search/?api=1&amp;query=31.37521,34.39906" TargetMode="External"/><Relationship Id="rId30" Type="http://schemas.openxmlformats.org/officeDocument/2006/relationships/hyperlink" Target="https://waze.com/ul?ll=31.37521,34.39906&amp;navigate=yes" TargetMode="External"/><Relationship Id="rId31" Type="http://schemas.openxmlformats.org/officeDocument/2006/relationships/hyperlink" Target="https://www.google.com/maps/search/?api=1&amp;query=31.2277,34.28424" TargetMode="External"/><Relationship Id="rId32" Type="http://schemas.openxmlformats.org/officeDocument/2006/relationships/hyperlink" Target="https://waze.com/ul?ll=31.2277,34.28424&amp;navigate=yes" TargetMode="External"/><Relationship Id="rId33" Type="http://schemas.openxmlformats.org/officeDocument/2006/relationships/hyperlink" Target="https://www.google.com/maps/search/?api=1&amp;query=31.29971,34.42691" TargetMode="External"/><Relationship Id="rId34" Type="http://schemas.openxmlformats.org/officeDocument/2006/relationships/hyperlink" Target="https://waze.com/ul?ll=31.29971,34.42691&amp;navigate=yes" TargetMode="External"/><Relationship Id="rId35" Type="http://schemas.openxmlformats.org/officeDocument/2006/relationships/hyperlink" Target="https://www.google.com/maps/search/?api=1&amp;query=31.23768,34.35762" TargetMode="External"/><Relationship Id="rId36" Type="http://schemas.openxmlformats.org/officeDocument/2006/relationships/hyperlink" Target="https://waze.com/ul?ll=31.23768,34.35762&amp;navigate=yes" TargetMode="External"/><Relationship Id="rId37" Type="http://schemas.openxmlformats.org/officeDocument/2006/relationships/hyperlink" Target="https://www.google.com/maps/search/?api=1&amp;query=31.31074,34.40171" TargetMode="External"/><Relationship Id="rId38" Type="http://schemas.openxmlformats.org/officeDocument/2006/relationships/hyperlink" Target="https://waze.com/ul?ll=31.31074,34.40171&amp;navigate=yes" TargetMode="External"/><Relationship Id="rId39" Type="http://schemas.openxmlformats.org/officeDocument/2006/relationships/hyperlink" Target="https://www.google.com/maps/search/?api=1&amp;query=31.33595,34.39488" TargetMode="External"/><Relationship Id="rId40" Type="http://schemas.openxmlformats.org/officeDocument/2006/relationships/hyperlink" Target="https://waze.com/ul?ll=31.33595,34.39488&amp;navigate=yes" TargetMode="External"/><Relationship Id="rId41" Type="http://schemas.openxmlformats.org/officeDocument/2006/relationships/hyperlink" Target="https://www.google.com/maps/search/?api=1&amp;query=31.2373,34.34209" TargetMode="External"/><Relationship Id="rId42" Type="http://schemas.openxmlformats.org/officeDocument/2006/relationships/hyperlink" Target="https://waze.com/ul?ll=31.2373,34.34209&amp;navigate=yes" TargetMode="External"/><Relationship Id="rId43" Type="http://schemas.openxmlformats.org/officeDocument/2006/relationships/hyperlink" Target="https://www.google.com/maps/search/?api=1&amp;query=31.35141,34.40158" TargetMode="External"/><Relationship Id="rId44" Type="http://schemas.openxmlformats.org/officeDocument/2006/relationships/hyperlink" Target="https://waze.com/ul?ll=31.35141,34.40158&amp;navigate=yes" TargetMode="External"/><Relationship Id="rId45" Type="http://schemas.openxmlformats.org/officeDocument/2006/relationships/hyperlink" Target="https://www.google.com/maps/search/?api=1&amp;query=31.20363,34.53409" TargetMode="External"/><Relationship Id="rId46" Type="http://schemas.openxmlformats.org/officeDocument/2006/relationships/hyperlink" Target="https://waze.com/ul?ll=31.20363,34.53409&amp;navigate=yes" TargetMode="External"/><Relationship Id="rId47" Type="http://schemas.openxmlformats.org/officeDocument/2006/relationships/hyperlink" Target="https://www.google.com/maps/search/?api=1&amp;query=31.38549,34.45932" TargetMode="External"/><Relationship Id="rId48" Type="http://schemas.openxmlformats.org/officeDocument/2006/relationships/hyperlink" Target="https://waze.com/ul?ll=31.38549,34.45932&amp;navigate=yes" TargetMode="External"/><Relationship Id="rId49" Type="http://schemas.openxmlformats.org/officeDocument/2006/relationships/hyperlink" Target="https://www.google.com/maps/search/?api=1&amp;query=31.23715,34.4313" TargetMode="External"/><Relationship Id="rId50" Type="http://schemas.openxmlformats.org/officeDocument/2006/relationships/hyperlink" Target="https://waze.com/ul?ll=31.23715,34.4313&amp;navigate=yes" TargetMode="External"/><Relationship Id="rId51" Type="http://schemas.openxmlformats.org/officeDocument/2006/relationships/hyperlink" Target="https://www.google.com/maps/search/?api=1&amp;query=31.19522,34.34698" TargetMode="External"/><Relationship Id="rId52" Type="http://schemas.openxmlformats.org/officeDocument/2006/relationships/hyperlink" Target="https://waze.com/ul?ll=31.19522,34.34698&amp;navigate=yes" TargetMode="External"/><Relationship Id="rId53" Type="http://schemas.openxmlformats.org/officeDocument/2006/relationships/hyperlink" Target="https://www.google.com/maps/search/?api=1&amp;query=31.18925,34.31808" TargetMode="External"/><Relationship Id="rId54" Type="http://schemas.openxmlformats.org/officeDocument/2006/relationships/hyperlink" Target="https://waze.com/ul?ll=31.18925,34.31808&amp;navigate=yes" TargetMode="External"/><Relationship Id="rId55" Type="http://schemas.openxmlformats.org/officeDocument/2006/relationships/hyperlink" Target="https://www.google.com/maps/search/?api=1&amp;query=31.24752,34.40246" TargetMode="External"/><Relationship Id="rId56" Type="http://schemas.openxmlformats.org/officeDocument/2006/relationships/hyperlink" Target="https://waze.com/ul?ll=31.24752,34.40246&amp;navigate=yes" TargetMode="External"/><Relationship Id="rId57" Type="http://schemas.openxmlformats.org/officeDocument/2006/relationships/hyperlink" Target="https://www.google.com/maps/search/?api=1&amp;query=31.20618,34.32694" TargetMode="External"/><Relationship Id="rId58" Type="http://schemas.openxmlformats.org/officeDocument/2006/relationships/hyperlink" Target="https://waze.com/ul?ll=31.20618,34.32694&amp;navigate=yes" TargetMode="External"/><Relationship Id="rId59" Type="http://schemas.openxmlformats.org/officeDocument/2006/relationships/hyperlink" Target="https://www.google.com/maps/search/?api=1&amp;query=31.24034,34.40787" TargetMode="External"/><Relationship Id="rId60" Type="http://schemas.openxmlformats.org/officeDocument/2006/relationships/hyperlink" Target="https://waze.com/ul?ll=31.24034,34.40787&amp;navigate=yes" TargetMode="External"/><Relationship Id="rId61" Type="http://schemas.openxmlformats.org/officeDocument/2006/relationships/hyperlink" Target="https://www.google.com/maps/search/?api=1&amp;query=31.28141,34.44239" TargetMode="External"/><Relationship Id="rId62" Type="http://schemas.openxmlformats.org/officeDocument/2006/relationships/hyperlink" Target="https://waze.com/ul?ll=31.28141,34.44239&amp;navigate=yes" TargetMode="External"/><Relationship Id="rId63" Type="http://schemas.openxmlformats.org/officeDocument/2006/relationships/hyperlink" Target="https://www.google.com/maps/search/?api=1&amp;query=31.2484,34.41295" TargetMode="External"/><Relationship Id="rId64" Type="http://schemas.openxmlformats.org/officeDocument/2006/relationships/hyperlink" Target="https://waze.com/ul?ll=31.2484,34.41295&amp;navigate=yes" TargetMode="External"/><Relationship Id="rId65" Type="http://schemas.openxmlformats.org/officeDocument/2006/relationships/hyperlink" Target="https://www.google.com/maps/search/?api=1&amp;query=31.22161,34.35535" TargetMode="External"/><Relationship Id="rId66" Type="http://schemas.openxmlformats.org/officeDocument/2006/relationships/hyperlink" Target="https://waze.com/ul?ll=31.22161,34.35535&amp;navigate=yes" TargetMode="External"/><Relationship Id="rId67" Type="http://schemas.openxmlformats.org/officeDocument/2006/relationships/hyperlink" Target="https://www.google.com/maps/search/?api=1&amp;query=31.23013,34.41929" TargetMode="External"/><Relationship Id="rId68" Type="http://schemas.openxmlformats.org/officeDocument/2006/relationships/hyperlink" Target="https://waze.com/ul?ll=31.23013,34.41929&amp;navigate=yes" TargetMode="External"/><Relationship Id="rId69" Type="http://schemas.openxmlformats.org/officeDocument/2006/relationships/hyperlink" Target="https://www.google.com/maps/search/?api=1&amp;query=31.21174,34.33613" TargetMode="External"/><Relationship Id="rId70" Type="http://schemas.openxmlformats.org/officeDocument/2006/relationships/hyperlink" Target="https://waze.com/ul?ll=31.21174,34.33613&amp;navigate=yes" TargetMode="External"/><Relationship Id="rId71" Type="http://schemas.openxmlformats.org/officeDocument/2006/relationships/hyperlink" Target="https://www.google.com/maps/search/?api=1&amp;query=31.22893,34.42896" TargetMode="External"/><Relationship Id="rId72" Type="http://schemas.openxmlformats.org/officeDocument/2006/relationships/hyperlink" Target="https://waze.com/ul?ll=31.22893,34.42896&amp;navigate=yes" TargetMode="External"/><Relationship Id="rId73" Type="http://schemas.openxmlformats.org/officeDocument/2006/relationships/hyperlink" Target="https://www.google.com/maps/search/?api=1&amp;query=31.20136,34.36203" TargetMode="External"/><Relationship Id="rId74" Type="http://schemas.openxmlformats.org/officeDocument/2006/relationships/hyperlink" Target="https://waze.com/ul?ll=31.20136,34.36203&amp;navigate=yes" TargetMode="External"/><Relationship Id="rId75" Type="http://schemas.openxmlformats.org/officeDocument/2006/relationships/hyperlink" Target="https://www.google.com/maps/search/?api=1&amp;query=31.16239,34.33385" TargetMode="External"/><Relationship Id="rId76" Type="http://schemas.openxmlformats.org/officeDocument/2006/relationships/hyperlink" Target="https://waze.com/ul?ll=31.16239,34.33385&amp;navigate=yes" TargetMode="External"/><Relationship Id="rId77" Type="http://schemas.openxmlformats.org/officeDocument/2006/relationships/hyperlink" Target="https://www.google.com/maps/search/?api=1&amp;query=31.14098,34.31475" TargetMode="External"/><Relationship Id="rId78" Type="http://schemas.openxmlformats.org/officeDocument/2006/relationships/hyperlink" Target="https://waze.com/ul?ll=31.14098,34.31475&amp;navigate=yes" TargetMode="External"/><Relationship Id="rId79" Type="http://schemas.openxmlformats.org/officeDocument/2006/relationships/hyperlink" Target="https://www.google.com/maps/search/?api=1&amp;query=31.16797,34.30527" TargetMode="External"/><Relationship Id="rId80" Type="http://schemas.openxmlformats.org/officeDocument/2006/relationships/hyperlink" Target="https://waze.com/ul?ll=31.16797,34.30527&amp;navigate=yes" TargetMode="External"/><Relationship Id="rId81" Type="http://schemas.openxmlformats.org/officeDocument/2006/relationships/hyperlink" Target="https://www.google.com/maps/search/?api=1&amp;query=31.2363,34.42564" TargetMode="External"/><Relationship Id="rId82" Type="http://schemas.openxmlformats.org/officeDocument/2006/relationships/hyperlink" Target="https://waze.com/ul?ll=31.2363,34.42564&amp;navigate=yes" TargetMode="External"/><Relationship Id="rId83" Type="http://schemas.openxmlformats.org/officeDocument/2006/relationships/hyperlink" Target="https://www.google.com/maps/search/?api=1&amp;query=31.19556,34.33082" TargetMode="External"/><Relationship Id="rId84" Type="http://schemas.openxmlformats.org/officeDocument/2006/relationships/hyperlink" Target="https://waze.com/ul?ll=31.19556,34.33082&amp;navigate=yes" TargetMode="External"/><Relationship Id="rId85" Type="http://schemas.openxmlformats.org/officeDocument/2006/relationships/hyperlink" Target="https://www.google.com/maps/search/?api=1&amp;query=31.44749,34.66596" TargetMode="External"/><Relationship Id="rId86" Type="http://schemas.openxmlformats.org/officeDocument/2006/relationships/hyperlink" Target="https://waze.com/ul?ll=31.44749,34.66596&amp;navigate=yes" TargetMode="External"/><Relationship Id="rId87" Type="http://schemas.openxmlformats.org/officeDocument/2006/relationships/hyperlink" Target="https://www.google.com/maps/search/?api=1&amp;query=31.33425,34.63246" TargetMode="External"/><Relationship Id="rId88" Type="http://schemas.openxmlformats.org/officeDocument/2006/relationships/hyperlink" Target="https://waze.com/ul?ll=31.33425,34.63246&amp;navigate=yes" TargetMode="External"/><Relationship Id="rId89" Type="http://schemas.openxmlformats.org/officeDocument/2006/relationships/hyperlink" Target="https://www.google.com/maps/search/?api=1&amp;query=31.32793,34.65193" TargetMode="External"/><Relationship Id="rId90" Type="http://schemas.openxmlformats.org/officeDocument/2006/relationships/hyperlink" Target="https://waze.com/ul?ll=31.32793,34.65193&amp;navigate=yes" TargetMode="External"/><Relationship Id="rId91" Type="http://schemas.openxmlformats.org/officeDocument/2006/relationships/hyperlink" Target="https://www.google.com/maps/search/?api=1&amp;query=31.32431,34.58944" TargetMode="External"/><Relationship Id="rId92" Type="http://schemas.openxmlformats.org/officeDocument/2006/relationships/hyperlink" Target="https://waze.com/ul?ll=31.32431,34.58944&amp;navigate=yes" TargetMode="External"/><Relationship Id="rId93" Type="http://schemas.openxmlformats.org/officeDocument/2006/relationships/hyperlink" Target="https://www.google.com/maps/search/?api=1&amp;query=31.47746,34.63085" TargetMode="External"/><Relationship Id="rId94" Type="http://schemas.openxmlformats.org/officeDocument/2006/relationships/hyperlink" Target="https://waze.com/ul?ll=31.47746,34.63085&amp;navigate=yes" TargetMode="External"/><Relationship Id="rId95" Type="http://schemas.openxmlformats.org/officeDocument/2006/relationships/hyperlink" Target="https://www.google.com/maps/search/?api=1&amp;query=31.46987,34.64658" TargetMode="External"/><Relationship Id="rId96" Type="http://schemas.openxmlformats.org/officeDocument/2006/relationships/hyperlink" Target="https://waze.com/ul?ll=31.46987,34.64658&amp;navigate=yes" TargetMode="External"/><Relationship Id="rId97" Type="http://schemas.openxmlformats.org/officeDocument/2006/relationships/hyperlink" Target="https://www.google.com/maps/search/?api=1&amp;query=31.32685,34.61107" TargetMode="External"/><Relationship Id="rId98" Type="http://schemas.openxmlformats.org/officeDocument/2006/relationships/hyperlink" Target="https://waze.com/ul?ll=31.32685,34.61107&amp;navigate=yes" TargetMode="External"/><Relationship Id="rId99" Type="http://schemas.openxmlformats.org/officeDocument/2006/relationships/hyperlink" Target="https://www.google.com/maps/search/?api=1&amp;query=31.32733,34.56001" TargetMode="External"/><Relationship Id="rId100" Type="http://schemas.openxmlformats.org/officeDocument/2006/relationships/hyperlink" Target="https://waze.com/ul?ll=31.32733,34.56001&amp;navigate=yes" TargetMode="External"/><Relationship Id="rId101" Type="http://schemas.openxmlformats.org/officeDocument/2006/relationships/hyperlink" Target="https://www.google.com/maps/search/?api=1&amp;query=31.43912,34.69273" TargetMode="External"/><Relationship Id="rId102" Type="http://schemas.openxmlformats.org/officeDocument/2006/relationships/hyperlink" Target="https://waze.com/ul?ll=31.43912,34.69273&amp;navigate=yes" TargetMode="External"/><Relationship Id="rId103" Type="http://schemas.openxmlformats.org/officeDocument/2006/relationships/hyperlink" Target="https://www.google.com/maps/search/?api=1&amp;query=31.44935,34.67784" TargetMode="External"/><Relationship Id="rId104" Type="http://schemas.openxmlformats.org/officeDocument/2006/relationships/hyperlink" Target="https://waze.com/ul?ll=31.44935,34.67784&amp;navigate=yes" TargetMode="External"/><Relationship Id="rId105" Type="http://schemas.openxmlformats.org/officeDocument/2006/relationships/hyperlink" Target="https://www.google.com/maps/search/?api=1&amp;query=31.33799,34.60133" TargetMode="External"/><Relationship Id="rId106" Type="http://schemas.openxmlformats.org/officeDocument/2006/relationships/hyperlink" Target="https://waze.com/ul?ll=31.33799,34.60133&amp;navigate=yes" TargetMode="External"/><Relationship Id="rId107" Type="http://schemas.openxmlformats.org/officeDocument/2006/relationships/hyperlink" Target="https://www.google.com/maps/search/?api=1&amp;query=31.44876,34.71224" TargetMode="External"/><Relationship Id="rId108" Type="http://schemas.openxmlformats.org/officeDocument/2006/relationships/hyperlink" Target="https://waze.com/ul?ll=31.44876,34.71224&amp;navigate=yes" TargetMode="External"/><Relationship Id="rId109" Type="http://schemas.openxmlformats.org/officeDocument/2006/relationships/hyperlink" Target="https://www.google.com/maps/search/?api=1&amp;query=31.43775,34.64508" TargetMode="External"/><Relationship Id="rId110" Type="http://schemas.openxmlformats.org/officeDocument/2006/relationships/hyperlink" Target="https://waze.com/ul?ll=31.43775,34.64508&amp;navigate=yes" TargetMode="External"/><Relationship Id="rId111" Type="http://schemas.openxmlformats.org/officeDocument/2006/relationships/hyperlink" Target="https://www.google.com/maps/search/?api=1&amp;query=31.32534,34.67811" TargetMode="External"/><Relationship Id="rId112" Type="http://schemas.openxmlformats.org/officeDocument/2006/relationships/hyperlink" Target="https://waze.com/ul?ll=31.32534,34.67811&amp;navigate=yes" TargetMode="External"/><Relationship Id="rId113" Type="http://schemas.openxmlformats.org/officeDocument/2006/relationships/hyperlink" Target="https://www.google.com/maps/search/?api=1&amp;query=31.44979,34.65459" TargetMode="External"/><Relationship Id="rId114" Type="http://schemas.openxmlformats.org/officeDocument/2006/relationships/hyperlink" Target="https://waze.com/ul?ll=31.44979,34.65459&amp;navigate=yes" TargetMode="External"/><Relationship Id="rId115" Type="http://schemas.openxmlformats.org/officeDocument/2006/relationships/hyperlink" Target="https://www.google.com/maps/search/?api=1&amp;query=31.44849,34.76106" TargetMode="External"/><Relationship Id="rId116" Type="http://schemas.openxmlformats.org/officeDocument/2006/relationships/hyperlink" Target="https://waze.com/ul?ll=31.44849,34.76106&amp;navigate=yes" TargetMode="External"/><Relationship Id="rId117" Type="http://schemas.openxmlformats.org/officeDocument/2006/relationships/hyperlink" Target="https://www.google.com/maps/search/?api=1&amp;query=31.41342,34.82274" TargetMode="External"/><Relationship Id="rId118" Type="http://schemas.openxmlformats.org/officeDocument/2006/relationships/hyperlink" Target="https://waze.com/ul?ll=31.41342,34.82274&amp;navigate=yes" TargetMode="External"/><Relationship Id="rId119" Type="http://schemas.openxmlformats.org/officeDocument/2006/relationships/hyperlink" Target="https://www.google.com/maps/search/?api=1&amp;query=31.24007,34.71343" TargetMode="External"/><Relationship Id="rId120" Type="http://schemas.openxmlformats.org/officeDocument/2006/relationships/hyperlink" Target="https://waze.com/ul?ll=31.24007,34.71343&amp;navigate=yes" TargetMode="External"/><Relationship Id="rId121" Type="http://schemas.openxmlformats.org/officeDocument/2006/relationships/hyperlink" Target="https://www.google.com/maps/search/?api=1&amp;query=31.33376,34.91805" TargetMode="External"/><Relationship Id="rId122" Type="http://schemas.openxmlformats.org/officeDocument/2006/relationships/hyperlink" Target="https://waze.com/ul?ll=31.33376,34.91805&amp;navigate=yes" TargetMode="External"/><Relationship Id="rId123" Type="http://schemas.openxmlformats.org/officeDocument/2006/relationships/hyperlink" Target="https://www.google.com/maps/search/?api=1&amp;query=31.37928,34.86861" TargetMode="External"/><Relationship Id="rId124" Type="http://schemas.openxmlformats.org/officeDocument/2006/relationships/hyperlink" Target="https://waze.com/ul?ll=31.37928,34.86861&amp;navigate=yes" TargetMode="External"/><Relationship Id="rId125" Type="http://schemas.openxmlformats.org/officeDocument/2006/relationships/hyperlink" Target="https://www.google.com/maps/search/?api=1&amp;query=31.36346,34.717" TargetMode="External"/><Relationship Id="rId126" Type="http://schemas.openxmlformats.org/officeDocument/2006/relationships/hyperlink" Target="https://waze.com/ul?ll=31.36346,34.717&amp;navigate=yes" TargetMode="External"/><Relationship Id="rId127" Type="http://schemas.openxmlformats.org/officeDocument/2006/relationships/hyperlink" Target="https://www.google.com/maps/search/?api=1&amp;query=31.41443,34.74376" TargetMode="External"/><Relationship Id="rId128" Type="http://schemas.openxmlformats.org/officeDocument/2006/relationships/hyperlink" Target="https://waze.com/ul?ll=31.41443,34.74376&amp;navigate=yes" TargetMode="External"/><Relationship Id="rId129" Type="http://schemas.openxmlformats.org/officeDocument/2006/relationships/hyperlink" Target="https://www.google.com/maps/search/?api=1&amp;query=31.43217,34.88367" TargetMode="External"/><Relationship Id="rId130" Type="http://schemas.openxmlformats.org/officeDocument/2006/relationships/hyperlink" Target="https://waze.com/ul?ll=31.43217,34.88367&amp;navigate=yes" TargetMode="External"/><Relationship Id="rId131" Type="http://schemas.openxmlformats.org/officeDocument/2006/relationships/hyperlink" Target="https://www.google.com/maps/search/?api=1&amp;query=31.37051,34.63297" TargetMode="External"/><Relationship Id="rId132" Type="http://schemas.openxmlformats.org/officeDocument/2006/relationships/hyperlink" Target="https://waze.com/ul?ll=31.37051,34.63297&amp;navigate=yes" TargetMode="External"/><Relationship Id="rId133" Type="http://schemas.openxmlformats.org/officeDocument/2006/relationships/hyperlink" Target="https://www.google.com/maps/search/?api=1&amp;query=31.22229,34.8826" TargetMode="External"/><Relationship Id="rId134" Type="http://schemas.openxmlformats.org/officeDocument/2006/relationships/hyperlink" Target="https://waze.com/ul?ll=31.22229,34.8826&amp;navigate=yes" TargetMode="External"/><Relationship Id="rId135" Type="http://schemas.openxmlformats.org/officeDocument/2006/relationships/hyperlink" Target="https://www.google.com/maps/search/?api=1&amp;query=31.37182,34.64316" TargetMode="External"/><Relationship Id="rId136" Type="http://schemas.openxmlformats.org/officeDocument/2006/relationships/hyperlink" Target="https://waze.com/ul?ll=31.37182,34.64316&amp;navigate=yes" TargetMode="External"/><Relationship Id="rId137" Type="http://schemas.openxmlformats.org/officeDocument/2006/relationships/hyperlink" Target="https://www.google.com/maps/search/?api=1&amp;query=31.37914,34.62735" TargetMode="External"/><Relationship Id="rId138" Type="http://schemas.openxmlformats.org/officeDocument/2006/relationships/hyperlink" Target="https://waze.com/ul?ll=31.37914,34.62735&amp;navigate=yes" TargetMode="External"/><Relationship Id="rId139" Type="http://schemas.openxmlformats.org/officeDocument/2006/relationships/hyperlink" Target="https://www.google.com/maps/search/?api=1&amp;query=31.35648,34.75644" TargetMode="External"/><Relationship Id="rId140" Type="http://schemas.openxmlformats.org/officeDocument/2006/relationships/hyperlink" Target="https://waze.com/ul?ll=31.35648,34.75644&amp;navigate=yes" TargetMode="External"/><Relationship Id="rId141" Type="http://schemas.openxmlformats.org/officeDocument/2006/relationships/hyperlink" Target="https://www.google.com/maps/search/?api=1&amp;query=31.47068,34.5344" TargetMode="External"/><Relationship Id="rId142" Type="http://schemas.openxmlformats.org/officeDocument/2006/relationships/hyperlink" Target="https://waze.com/ul?ll=31.47068,34.5344&amp;navigate=yes" TargetMode="External"/><Relationship Id="rId143" Type="http://schemas.openxmlformats.org/officeDocument/2006/relationships/hyperlink" Target="https://www.google.com/maps/search/?api=1&amp;query=31.45226,34.51328" TargetMode="External"/><Relationship Id="rId144" Type="http://schemas.openxmlformats.org/officeDocument/2006/relationships/hyperlink" Target="https://waze.com/ul?ll=31.45226,34.51328&amp;navigate=yes" TargetMode="External"/><Relationship Id="rId145" Type="http://schemas.openxmlformats.org/officeDocument/2006/relationships/hyperlink" Target="https://www.google.com/maps/search/?api=1&amp;query=31.42531,34.60645" TargetMode="External"/><Relationship Id="rId146" Type="http://schemas.openxmlformats.org/officeDocument/2006/relationships/hyperlink" Target="https://waze.com/ul?ll=31.42531,34.60645&amp;navigate=yes" TargetMode="External"/><Relationship Id="rId147" Type="http://schemas.openxmlformats.org/officeDocument/2006/relationships/hyperlink" Target="https://www.google.com/maps/search/?api=1&amp;query=31.39674,34.5915" TargetMode="External"/><Relationship Id="rId148" Type="http://schemas.openxmlformats.org/officeDocument/2006/relationships/hyperlink" Target="https://waze.com/ul?ll=31.39674,34.5915&amp;navigate=yes" TargetMode="External"/><Relationship Id="rId149" Type="http://schemas.openxmlformats.org/officeDocument/2006/relationships/hyperlink" Target="https://www.google.com/maps/search/?api=1&amp;query=31.44796,34.55255" TargetMode="External"/><Relationship Id="rId150" Type="http://schemas.openxmlformats.org/officeDocument/2006/relationships/hyperlink" Target="https://waze.com/ul?ll=31.44796,34.55255&amp;navigate=yes" TargetMode="External"/><Relationship Id="rId151" Type="http://schemas.openxmlformats.org/officeDocument/2006/relationships/hyperlink" Target="https://www.google.com/maps/search/?api=1&amp;query=31.45849,34.62402" TargetMode="External"/><Relationship Id="rId152" Type="http://schemas.openxmlformats.org/officeDocument/2006/relationships/hyperlink" Target="https://waze.com/ul?ll=31.45849,34.62402&amp;navigate=yes" TargetMode="External"/><Relationship Id="rId153" Type="http://schemas.openxmlformats.org/officeDocument/2006/relationships/hyperlink" Target="https://www.google.com/maps/search/?api=1&amp;query=31.44372,34.60918" TargetMode="External"/><Relationship Id="rId154" Type="http://schemas.openxmlformats.org/officeDocument/2006/relationships/hyperlink" Target="https://waze.com/ul?ll=31.44372,34.60918&amp;navigate=yes" TargetMode="External"/><Relationship Id="rId155" Type="http://schemas.openxmlformats.org/officeDocument/2006/relationships/hyperlink" Target="https://www.google.com/maps/search/?api=1&amp;query=31.43218,34.53583" TargetMode="External"/><Relationship Id="rId156" Type="http://schemas.openxmlformats.org/officeDocument/2006/relationships/hyperlink" Target="https://waze.com/ul?ll=31.43218,34.53583&amp;navigate=yes" TargetMode="External"/><Relationship Id="rId157" Type="http://schemas.openxmlformats.org/officeDocument/2006/relationships/hyperlink" Target="https://www.google.com/maps/search/?api=1&amp;query=31.38946,34.59522" TargetMode="External"/><Relationship Id="rId158" Type="http://schemas.openxmlformats.org/officeDocument/2006/relationships/hyperlink" Target="https://waze.com/ul?ll=31.38946,34.59522&amp;navigate=yes" TargetMode="External"/><Relationship Id="rId159" Type="http://schemas.openxmlformats.org/officeDocument/2006/relationships/hyperlink" Target="https://www.google.com/maps/search/?api=1&amp;query=31.39565,34.60748" TargetMode="External"/><Relationship Id="rId160" Type="http://schemas.openxmlformats.org/officeDocument/2006/relationships/hyperlink" Target="https://waze.com/ul?ll=31.39565,34.60748&amp;navigate=yes" TargetMode="External"/><Relationship Id="rId161" Type="http://schemas.openxmlformats.org/officeDocument/2006/relationships/hyperlink" Target="https://www.google.com/maps/search/?api=1&amp;query=31.4517,34.54411" TargetMode="External"/><Relationship Id="rId162" Type="http://schemas.openxmlformats.org/officeDocument/2006/relationships/hyperlink" Target="https://waze.com/ul?ll=31.4517,34.54411&amp;navigate=yes" TargetMode="External"/><Relationship Id="rId163" Type="http://schemas.openxmlformats.org/officeDocument/2006/relationships/hyperlink" Target="https://www.google.com/maps/search/?api=1&amp;query=31.42193,34.52465" TargetMode="External"/><Relationship Id="rId164" Type="http://schemas.openxmlformats.org/officeDocument/2006/relationships/hyperlink" Target="https://waze.com/ul?ll=31.42193,34.52465&amp;navigate=yes" TargetMode="External"/><Relationship Id="rId165" Type="http://schemas.openxmlformats.org/officeDocument/2006/relationships/hyperlink" Target="https://www.google.com/maps/search/?api=1&amp;query=31.40446,34.60291" TargetMode="External"/><Relationship Id="rId166" Type="http://schemas.openxmlformats.org/officeDocument/2006/relationships/hyperlink" Target="https://waze.com/ul?ll=31.40446,34.60291&amp;navigate=yes" TargetMode="External"/><Relationship Id="rId167" Type="http://schemas.openxmlformats.org/officeDocument/2006/relationships/hyperlink" Target="https://www.google.com/maps/search/?api=1&amp;query=31.45089,34.57926" TargetMode="External"/><Relationship Id="rId168" Type="http://schemas.openxmlformats.org/officeDocument/2006/relationships/hyperlink" Target="https://waze.com/ul?ll=31.45089,34.57926&amp;navigate=yes" TargetMode="External"/><Relationship Id="rId169" Type="http://schemas.openxmlformats.org/officeDocument/2006/relationships/hyperlink" Target="https://www.google.com/maps/search/?api=1&amp;query=31.39669,34.59854" TargetMode="External"/><Relationship Id="rId170" Type="http://schemas.openxmlformats.org/officeDocument/2006/relationships/hyperlink" Target="https://waze.com/ul?ll=31.39669,34.59854&amp;navigate=yes" TargetMode="External"/><Relationship Id="rId171" Type="http://schemas.openxmlformats.org/officeDocument/2006/relationships/hyperlink" Target="https://www.google.com/maps/search/?api=1&amp;query=31.43374,34.54087" TargetMode="External"/><Relationship Id="rId172" Type="http://schemas.openxmlformats.org/officeDocument/2006/relationships/hyperlink" Target="https://waze.com/ul?ll=31.43374,34.54087&amp;navigate=yes" TargetMode="External"/><Relationship Id="rId173" Type="http://schemas.openxmlformats.org/officeDocument/2006/relationships/hyperlink" Target="https://www.google.com/maps/search/?api=1&amp;query=31.55704,34.59951" TargetMode="External"/><Relationship Id="rId174" Type="http://schemas.openxmlformats.org/officeDocument/2006/relationships/hyperlink" Target="https://waze.com/ul?ll=31.55704,34.59951&amp;navigate=yes" TargetMode="External"/><Relationship Id="rId175" Type="http://schemas.openxmlformats.org/officeDocument/2006/relationships/hyperlink" Target="https://www.google.com/maps/search/?api=1&amp;query=31.56022,34.56642" TargetMode="External"/><Relationship Id="rId176" Type="http://schemas.openxmlformats.org/officeDocument/2006/relationships/hyperlink" Target="https://waze.com/ul?ll=31.56022,34.56642&amp;navigate=yes" TargetMode="External"/><Relationship Id="rId177" Type="http://schemas.openxmlformats.org/officeDocument/2006/relationships/hyperlink" Target="https://www.google.com/maps/search/?api=1&amp;query=31.5578,34.64669" TargetMode="External"/><Relationship Id="rId178" Type="http://schemas.openxmlformats.org/officeDocument/2006/relationships/hyperlink" Target="https://waze.com/ul?ll=31.5578,34.64669&amp;navigate=yes" TargetMode="External"/><Relationship Id="rId179" Type="http://schemas.openxmlformats.org/officeDocument/2006/relationships/hyperlink" Target="https://www.google.com/maps/search/?api=1&amp;query=31.50688,34.59646" TargetMode="External"/><Relationship Id="rId180" Type="http://schemas.openxmlformats.org/officeDocument/2006/relationships/hyperlink" Target="https://waze.com/ul?ll=31.50688,34.59646&amp;navigate=yes" TargetMode="External"/><Relationship Id="rId181" Type="http://schemas.openxmlformats.org/officeDocument/2006/relationships/hyperlink" Target="https://www.google.com/maps/search/?api=1&amp;query=31.50666,34.64499" TargetMode="External"/><Relationship Id="rId182" Type="http://schemas.openxmlformats.org/officeDocument/2006/relationships/hyperlink" Target="https://waze.com/ul?ll=31.50666,34.64499&amp;navigate=yes" TargetMode="External"/><Relationship Id="rId183" Type="http://schemas.openxmlformats.org/officeDocument/2006/relationships/hyperlink" Target="https://www.google.com/maps/search/?api=1&amp;query=31.48356,34.53189" TargetMode="External"/><Relationship Id="rId184" Type="http://schemas.openxmlformats.org/officeDocument/2006/relationships/hyperlink" Target="https://waze.com/ul?ll=31.48356,34.53189&amp;navigate=yes" TargetMode="External"/><Relationship Id="rId185" Type="http://schemas.openxmlformats.org/officeDocument/2006/relationships/hyperlink" Target="https://www.google.com/maps/search/?api=1&amp;query=31.50202,34.56134" TargetMode="External"/><Relationship Id="rId186" Type="http://schemas.openxmlformats.org/officeDocument/2006/relationships/hyperlink" Target="https://waze.com/ul?ll=31.50202,34.56134&amp;navigate=yes" TargetMode="External"/><Relationship Id="rId187" Type="http://schemas.openxmlformats.org/officeDocument/2006/relationships/hyperlink" Target="https://www.google.com/maps/search/?api=1&amp;query=31.47274,34.49746" TargetMode="External"/><Relationship Id="rId188" Type="http://schemas.openxmlformats.org/officeDocument/2006/relationships/hyperlink" Target="https://waze.com/ul?ll=31.47274,34.49746&amp;navigate=yes" TargetMode="External"/><Relationship Id="rId189" Type="http://schemas.openxmlformats.org/officeDocument/2006/relationships/hyperlink" Target="https://www.google.com/maps/search/?api=1&amp;query=31.51961,34.57975" TargetMode="External"/><Relationship Id="rId190" Type="http://schemas.openxmlformats.org/officeDocument/2006/relationships/hyperlink" Target="https://waze.com/ul?ll=31.51961,34.57975&amp;navigate=yes" TargetMode="External"/><Relationship Id="rId191" Type="http://schemas.openxmlformats.org/officeDocument/2006/relationships/hyperlink" Target="https://www.google.com/maps/search/?api=1&amp;query=31.49789,34.70609" TargetMode="External"/><Relationship Id="rId192" Type="http://schemas.openxmlformats.org/officeDocument/2006/relationships/hyperlink" Target="https://waze.com/ul?ll=31.49789,34.70609&amp;navigate=yes" TargetMode="External"/><Relationship Id="rId193" Type="http://schemas.openxmlformats.org/officeDocument/2006/relationships/hyperlink" Target="https://www.google.com/maps/search/?api=1&amp;query=31.48273,34.59967" TargetMode="External"/><Relationship Id="rId194" Type="http://schemas.openxmlformats.org/officeDocument/2006/relationships/hyperlink" Target="https://waze.com/ul?ll=31.48273,34.59967&amp;navigate=yes" TargetMode="External"/><Relationship Id="rId195" Type="http://schemas.openxmlformats.org/officeDocument/2006/relationships/hyperlink" Target="https://www.google.com/maps/search/?api=1&amp;query=&#1495;&#1493;&#1493;&#1514;%20&#1492;&#1513;&#1511;&#1502;&#1497;&#1501;%20&#1497;&#1513;&#1512;&#1488;&#1500;" TargetMode="External"/><Relationship Id="rId196" Type="http://schemas.openxmlformats.org/officeDocument/2006/relationships/hyperlink" Target="https://waze.com/ul?q=&#1495;&#1493;&#1493;&#1514;%20&#1492;&#1513;&#1511;&#1502;&#1497;&#1501;" TargetMode="External"/><Relationship Id="rId197" Type="http://schemas.openxmlformats.org/officeDocument/2006/relationships/hyperlink" Target="https://www.google.com/maps/search/?api=1&amp;query=31.59146,34.61214" TargetMode="External"/><Relationship Id="rId198" Type="http://schemas.openxmlformats.org/officeDocument/2006/relationships/hyperlink" Target="https://waze.com/ul?ll=31.59146,34.61214&amp;navigate=yes" TargetMode="External"/><Relationship Id="rId199" Type="http://schemas.openxmlformats.org/officeDocument/2006/relationships/hyperlink" Target="https://www.google.com/maps/search/?api=1&amp;query=31.60959,34.52171" TargetMode="External"/><Relationship Id="rId200" Type="http://schemas.openxmlformats.org/officeDocument/2006/relationships/hyperlink" Target="https://waze.com/ul?ll=31.60959,34.52171&amp;navigate=yes" TargetMode="External"/><Relationship Id="rId201" Type="http://schemas.openxmlformats.org/officeDocument/2006/relationships/hyperlink" Target="https://www.google.com/maps/search/?api=1&amp;query=31.58895,34.55842" TargetMode="External"/><Relationship Id="rId202" Type="http://schemas.openxmlformats.org/officeDocument/2006/relationships/hyperlink" Target="https://waze.com/ul?ll=31.58895,34.55842&amp;navigate=yes" TargetMode="External"/><Relationship Id="rId203" Type="http://schemas.openxmlformats.org/officeDocument/2006/relationships/hyperlink" Target="https://www.google.com/maps/search/?api=1&amp;query=31.6051,34.54187" TargetMode="External"/><Relationship Id="rId204" Type="http://schemas.openxmlformats.org/officeDocument/2006/relationships/hyperlink" Target="https://waze.com/ul?ll=31.6051,34.54187&amp;navigate=yes" TargetMode="External"/><Relationship Id="rId205" Type="http://schemas.openxmlformats.org/officeDocument/2006/relationships/hyperlink" Target="https://www.google.com/maps/search/?api=1&amp;query=31.71746,34.63402" TargetMode="External"/><Relationship Id="rId206" Type="http://schemas.openxmlformats.org/officeDocument/2006/relationships/hyperlink" Target="https://waze.com/ul?ll=31.71746,34.63402&amp;navigate=yes" TargetMode="External"/><Relationship Id="rId207" Type="http://schemas.openxmlformats.org/officeDocument/2006/relationships/hyperlink" Target="https://www.google.com/maps/search/?api=1&amp;query=31.63789,34.60763" TargetMode="External"/><Relationship Id="rId208" Type="http://schemas.openxmlformats.org/officeDocument/2006/relationships/hyperlink" Target="https://waze.com/ul?ll=31.63789,34.60763&amp;navigate=yes" TargetMode="External"/><Relationship Id="rId209" Type="http://schemas.openxmlformats.org/officeDocument/2006/relationships/hyperlink" Target="https://www.google.com/maps/search/?api=1&amp;query=31.66926,34.62535" TargetMode="External"/><Relationship Id="rId210" Type="http://schemas.openxmlformats.org/officeDocument/2006/relationships/hyperlink" Target="https://waze.com/ul?ll=31.66926,34.62535&amp;navigate=yes" TargetMode="External"/><Relationship Id="rId211" Type="http://schemas.openxmlformats.org/officeDocument/2006/relationships/hyperlink" Target="https://www.google.com/maps/search/?api=1&amp;query=31.62767,34.60327" TargetMode="External"/><Relationship Id="rId212" Type="http://schemas.openxmlformats.org/officeDocument/2006/relationships/hyperlink" Target="https://waze.com/ul?ll=31.62767,34.60327&amp;navigate=yes" TargetMode="External"/><Relationship Id="rId213" Type="http://schemas.openxmlformats.org/officeDocument/2006/relationships/hyperlink" Target="https://www.google.com/maps/search/?api=1&amp;query=31.67492,34.64072" TargetMode="External"/><Relationship Id="rId214" Type="http://schemas.openxmlformats.org/officeDocument/2006/relationships/hyperlink" Target="https://waze.com/ul?ll=31.67492,34.64072&amp;navigate=yes" TargetMode="External"/><Relationship Id="rId215" Type="http://schemas.openxmlformats.org/officeDocument/2006/relationships/hyperlink" Target="https://www.google.com/maps/search/?api=1&amp;query=31.57796,34.65847" TargetMode="External"/><Relationship Id="rId216" Type="http://schemas.openxmlformats.org/officeDocument/2006/relationships/hyperlink" Target="https://waze.com/ul?ll=31.57796,34.65847&amp;navigate=yes" TargetMode="External"/><Relationship Id="rId217" Type="http://schemas.openxmlformats.org/officeDocument/2006/relationships/hyperlink" Target="https://www.google.com/maps/search/?api=1&amp;query=31.62941,34.66882" TargetMode="External"/><Relationship Id="rId218" Type="http://schemas.openxmlformats.org/officeDocument/2006/relationships/hyperlink" Target="https://waze.com/ul?ll=31.62941,34.66882&amp;navigate=yes" TargetMode="External"/><Relationship Id="rId219" Type="http://schemas.openxmlformats.org/officeDocument/2006/relationships/hyperlink" Target="https://www.google.com/maps/search/?api=1&amp;query=31.65717,34.62364" TargetMode="External"/><Relationship Id="rId220" Type="http://schemas.openxmlformats.org/officeDocument/2006/relationships/hyperlink" Target="https://waze.com/ul?ll=31.65717,34.62364&amp;navigate=yes" TargetMode="External"/><Relationship Id="rId221" Type="http://schemas.openxmlformats.org/officeDocument/2006/relationships/hyperlink" Target="https://www.google.com/maps/search/?api=1&amp;query=31.68726,34.63642" TargetMode="External"/><Relationship Id="rId222" Type="http://schemas.openxmlformats.org/officeDocument/2006/relationships/hyperlink" Target="https://waze.com/ul?ll=31.68726,34.63642&amp;navigate=yes" TargetMode="External"/><Relationship Id="rId223" Type="http://schemas.openxmlformats.org/officeDocument/2006/relationships/hyperlink" Target="https://www.google.com/maps/search/?api=1&amp;query=31.57208,34.53958" TargetMode="External"/><Relationship Id="rId224" Type="http://schemas.openxmlformats.org/officeDocument/2006/relationships/hyperlink" Target="https://waze.com/ul?ll=31.57208,34.53958&amp;navigate=yes" TargetMode="External"/><Relationship Id="rId225" Type="http://schemas.openxmlformats.org/officeDocument/2006/relationships/hyperlink" Target="https://www.google.com/maps/search/?api=1&amp;query=31.62214,34.57685" TargetMode="External"/><Relationship Id="rId226" Type="http://schemas.openxmlformats.org/officeDocument/2006/relationships/hyperlink" Target="https://waze.com/ul?ll=31.62214,34.57685&amp;navigate=yes" TargetMode="External"/><Relationship Id="rId227" Type="http://schemas.openxmlformats.org/officeDocument/2006/relationships/hyperlink" Target="https://www.google.com/maps/search/?api=1&amp;query=31.61816,34.61345" TargetMode="External"/><Relationship Id="rId228" Type="http://schemas.openxmlformats.org/officeDocument/2006/relationships/hyperlink" Target="https://waze.com/ul?ll=31.61816,34.61345&amp;navigate=yes" TargetMode="External"/><Relationship Id="rId229" Type="http://schemas.openxmlformats.org/officeDocument/2006/relationships/hyperlink" Target="https://www.google.com/maps/search/?api=1&amp;query=31.55332,34.77015" TargetMode="External"/><Relationship Id="rId230" Type="http://schemas.openxmlformats.org/officeDocument/2006/relationships/hyperlink" Target="https://waze.com/ul?ll=31.55332,34.77015&amp;navigate=yes" TargetMode="External"/><Relationship Id="rId231" Type="http://schemas.openxmlformats.org/officeDocument/2006/relationships/hyperlink" Target="https://www.google.com/maps/search/?api=1&amp;query=31.59533,34.69261" TargetMode="External"/><Relationship Id="rId232" Type="http://schemas.openxmlformats.org/officeDocument/2006/relationships/hyperlink" Target="https://waze.com/ul?ll=31.59533,34.69261&amp;navigate=yes" TargetMode="External"/><Relationship Id="rId233" Type="http://schemas.openxmlformats.org/officeDocument/2006/relationships/hyperlink" Target="https://www.google.com/maps/search/?api=1&amp;query=31.65237,34.70548" TargetMode="External"/><Relationship Id="rId234" Type="http://schemas.openxmlformats.org/officeDocument/2006/relationships/hyperlink" Target="https://waze.com/ul?ll=31.65237,34.70548&amp;navigate=yes" TargetMode="External"/><Relationship Id="rId235" Type="http://schemas.openxmlformats.org/officeDocument/2006/relationships/hyperlink" Target="https://www.google.com/maps/search/?api=1&amp;query=31.56121,34.84205" TargetMode="External"/><Relationship Id="rId236" Type="http://schemas.openxmlformats.org/officeDocument/2006/relationships/hyperlink" Target="https://waze.com/ul?ll=31.56121,34.84205&amp;navigate=yes" TargetMode="External"/><Relationship Id="rId237" Type="http://schemas.openxmlformats.org/officeDocument/2006/relationships/hyperlink" Target="https://www.google.com/maps/search/?api=1&amp;query=31.65777,34.7763" TargetMode="External"/><Relationship Id="rId238" Type="http://schemas.openxmlformats.org/officeDocument/2006/relationships/hyperlink" Target="https://waze.com/ul?ll=31.65777,34.7763&amp;navigate=yes" TargetMode="External"/><Relationship Id="rId239" Type="http://schemas.openxmlformats.org/officeDocument/2006/relationships/hyperlink" Target="https://www.google.com/maps/search/?api=1&amp;query=31.62437,34.69467" TargetMode="External"/><Relationship Id="rId240" Type="http://schemas.openxmlformats.org/officeDocument/2006/relationships/hyperlink" Target="https://waze.com/ul?ll=31.62437,34.69467&amp;navigate=yes" TargetMode="External"/><Relationship Id="rId241" Type="http://schemas.openxmlformats.org/officeDocument/2006/relationships/hyperlink" Target="https://www.google.com/maps/search/?api=1&amp;query=31.60867,34.71456" TargetMode="External"/><Relationship Id="rId242" Type="http://schemas.openxmlformats.org/officeDocument/2006/relationships/hyperlink" Target="https://waze.com/ul?ll=31.60867,34.71456&amp;navigate=yes" TargetMode="External"/><Relationship Id="rId243" Type="http://schemas.openxmlformats.org/officeDocument/2006/relationships/hyperlink" Target="https://www.google.com/maps/search/?api=1&amp;query=31.63677,34.70377" TargetMode="External"/><Relationship Id="rId244" Type="http://schemas.openxmlformats.org/officeDocument/2006/relationships/hyperlink" Target="https://waze.com/ul?ll=31.63677,34.70377&amp;navigate=yes" TargetMode="External"/><Relationship Id="rId245" Type="http://schemas.openxmlformats.org/officeDocument/2006/relationships/hyperlink" Target="https://www.google.com/maps/search/?api=1&amp;query=31.57617,34.68397" TargetMode="External"/><Relationship Id="rId246" Type="http://schemas.openxmlformats.org/officeDocument/2006/relationships/hyperlink" Target="https://waze.com/ul?ll=31.57617,34.68397&amp;navigate=yes" TargetMode="External"/><Relationship Id="rId247" Type="http://schemas.openxmlformats.org/officeDocument/2006/relationships/hyperlink" Target="https://www.google.com/maps/search/?api=1&amp;query=31.61132,34.80139" TargetMode="External"/><Relationship Id="rId248" Type="http://schemas.openxmlformats.org/officeDocument/2006/relationships/hyperlink" Target="https://waze.com/ul?ll=31.61132,34.80139&amp;navigate=yes" TargetMode="External"/><Relationship Id="rId249" Type="http://schemas.openxmlformats.org/officeDocument/2006/relationships/hyperlink" Target="https://www.google.com/maps/search/?api=1&amp;query=31.61971,34.72547" TargetMode="External"/><Relationship Id="rId250" Type="http://schemas.openxmlformats.org/officeDocument/2006/relationships/hyperlink" Target="https://waze.com/ul?ll=31.61971,34.72547&amp;navigate=yes" TargetMode="External"/><Relationship Id="rId251" Type="http://schemas.openxmlformats.org/officeDocument/2006/relationships/hyperlink" Target="https://www.google.com/maps/search/?api=1&amp;query=31.56431,34.67193" TargetMode="External"/><Relationship Id="rId252" Type="http://schemas.openxmlformats.org/officeDocument/2006/relationships/hyperlink" Target="https://waze.com/ul?ll=31.56431,34.67193&amp;navigate=yes" TargetMode="External"/><Relationship Id="rId253" Type="http://schemas.openxmlformats.org/officeDocument/2006/relationships/hyperlink" Target="https://www.google.com/maps/search/?api=1&amp;query=31.5149,34.93592" TargetMode="External"/><Relationship Id="rId254" Type="http://schemas.openxmlformats.org/officeDocument/2006/relationships/hyperlink" Target="https://waze.com/ul?ll=31.5149,34.93592&amp;navigate=yes" TargetMode="External"/><Relationship Id="rId255" Type="http://schemas.openxmlformats.org/officeDocument/2006/relationships/hyperlink" Target="https://www.google.com/maps/search/?api=1&amp;query=31.53235,34.91365" TargetMode="External"/><Relationship Id="rId256" Type="http://schemas.openxmlformats.org/officeDocument/2006/relationships/hyperlink" Target="https://waze.com/ul?ll=31.53235,34.91365&amp;navigate=yes" TargetMode="External"/><Relationship Id="rId257" Type="http://schemas.openxmlformats.org/officeDocument/2006/relationships/hyperlink" Target="https://www.google.com/maps/search/?api=1&amp;query=31.69581,34.7198" TargetMode="External"/><Relationship Id="rId258" Type="http://schemas.openxmlformats.org/officeDocument/2006/relationships/hyperlink" Target="https://waze.com/ul?ll=31.69581,34.7198&amp;navigate=yes" TargetMode="External"/><Relationship Id="rId259" Type="http://schemas.openxmlformats.org/officeDocument/2006/relationships/hyperlink" Target="https://www.google.com/maps/search/?api=1&amp;query=31.57227,34.74815" TargetMode="External"/><Relationship Id="rId260" Type="http://schemas.openxmlformats.org/officeDocument/2006/relationships/hyperlink" Target="https://waze.com/ul?ll=31.57227,34.74815&amp;navigate=yes" TargetMode="External"/><Relationship Id="rId261" Type="http://schemas.openxmlformats.org/officeDocument/2006/relationships/hyperlink" Target="https://www.google.com/maps/search/?api=1&amp;query=31.65889,34.76006" TargetMode="External"/><Relationship Id="rId262" Type="http://schemas.openxmlformats.org/officeDocument/2006/relationships/hyperlink" Target="https://waze.com/ul?ll=31.65889,34.76006&amp;navigate=yes" TargetMode="External"/><Relationship Id="rId263" Type="http://schemas.openxmlformats.org/officeDocument/2006/relationships/hyperlink" Target="https://www.google.com/maps/search/?api=1&amp;query=31.68156,34.7455" TargetMode="External"/><Relationship Id="rId264" Type="http://schemas.openxmlformats.org/officeDocument/2006/relationships/hyperlink" Target="https://waze.com/ul?ll=31.68156,34.7455&amp;navigate=yes" TargetMode="External"/><Relationship Id="rId265" Type="http://schemas.openxmlformats.org/officeDocument/2006/relationships/hyperlink" Target="https://www.google.com/maps/search/?api=1&amp;query=31.56799,34.78883" TargetMode="External"/><Relationship Id="rId266" Type="http://schemas.openxmlformats.org/officeDocument/2006/relationships/hyperlink" Target="https://waze.com/ul?ll=31.56799,34.78883&amp;navigate=yes" TargetMode="External"/><Relationship Id="rId267" Type="http://schemas.openxmlformats.org/officeDocument/2006/relationships/hyperlink" Target="https://www.google.com/maps/search/?api=1&amp;query=31.59316,34.76427" TargetMode="External"/><Relationship Id="rId268" Type="http://schemas.openxmlformats.org/officeDocument/2006/relationships/hyperlink" Target="https://waze.com/ul?ll=31.59316,34.76427&amp;navigate=yes" TargetMode="External"/><Relationship Id="rId269" Type="http://schemas.openxmlformats.org/officeDocument/2006/relationships/hyperlink" Target="https://www.google.com/maps/search/?api=1&amp;query=31.66158,34.73074" TargetMode="External"/><Relationship Id="rId270" Type="http://schemas.openxmlformats.org/officeDocument/2006/relationships/hyperlink" Target="https://waze.com/ul?ll=31.66158,34.73074&amp;navigate=yes" TargetMode="External"/><Relationship Id="rId271" Type="http://schemas.openxmlformats.org/officeDocument/2006/relationships/hyperlink" Target="https://www.google.com/maps/search/?api=1&amp;query=31.64932,34.73333" TargetMode="External"/><Relationship Id="rId272" Type="http://schemas.openxmlformats.org/officeDocument/2006/relationships/hyperlink" Target="https://waze.com/ul?ll=31.64932,34.73333&amp;navigate=yes" TargetMode="External"/><Relationship Id="rId273" Type="http://schemas.openxmlformats.org/officeDocument/2006/relationships/hyperlink" Target="https://www.google.com/maps/search/?api=1&amp;query=31.56368,34.76704" TargetMode="External"/><Relationship Id="rId274" Type="http://schemas.openxmlformats.org/officeDocument/2006/relationships/hyperlink" Target="https://waze.com/ul?ll=31.56368,34.76704&amp;navigate=yes" TargetMode="External"/><Relationship Id="rId275" Type="http://schemas.openxmlformats.org/officeDocument/2006/relationships/hyperlink" Target="https://www.google.com/maps/search/?api=1&amp;query=31.6971,34.72834" TargetMode="External"/><Relationship Id="rId276" Type="http://schemas.openxmlformats.org/officeDocument/2006/relationships/hyperlink" Target="https://waze.com/ul?ll=31.6971,34.72834&amp;navigate=yes" TargetMode="External"/><Relationship Id="rId277" Type="http://schemas.openxmlformats.org/officeDocument/2006/relationships/hyperlink" Target="https://www.google.com/maps/search/?api=1&amp;query=31.70281,34.68939" TargetMode="External"/><Relationship Id="rId278" Type="http://schemas.openxmlformats.org/officeDocument/2006/relationships/hyperlink" Target="https://waze.com/ul?ll=31.70281,34.68939&amp;navigate=yes" TargetMode="External"/><Relationship Id="rId279" Type="http://schemas.openxmlformats.org/officeDocument/2006/relationships/hyperlink" Target="https://www.google.com/maps/search/?api=1&amp;query=31.61302,34.89591" TargetMode="External"/><Relationship Id="rId280" Type="http://schemas.openxmlformats.org/officeDocument/2006/relationships/hyperlink" Target="https://waze.com/ul?ll=31.61302,34.89591&amp;navigate=yes" TargetMode="External"/><Relationship Id="rId281" Type="http://schemas.openxmlformats.org/officeDocument/2006/relationships/hyperlink" Target="https://www.google.com/maps/search/?api=1&amp;query=31.64841,34.8727" TargetMode="External"/><Relationship Id="rId282" Type="http://schemas.openxmlformats.org/officeDocument/2006/relationships/hyperlink" Target="https://waze.com/ul?ll=31.64841,34.8727&amp;navigate=yes" TargetMode="External"/><Relationship Id="rId283" Type="http://schemas.openxmlformats.org/officeDocument/2006/relationships/hyperlink" Target="https://www.google.com/maps/search/?api=1&amp;query=31.63373,34.84756" TargetMode="External"/><Relationship Id="rId284" Type="http://schemas.openxmlformats.org/officeDocument/2006/relationships/hyperlink" Target="https://waze.com/ul?ll=31.63373,34.84756&amp;navigate=yes" TargetMode="External"/><Relationship Id="rId285" Type="http://schemas.openxmlformats.org/officeDocument/2006/relationships/hyperlink" Target="https://www.google.com/maps/search/?api=1&amp;query=31.62771,34.79467" TargetMode="External"/><Relationship Id="rId286" Type="http://schemas.openxmlformats.org/officeDocument/2006/relationships/hyperlink" Target="https://waze.com/ul?ll=31.62771,34.79467&amp;navigate=yes" TargetMode="External"/><Relationship Id="rId287" Type="http://schemas.openxmlformats.org/officeDocument/2006/relationships/hyperlink" Target="https://www.google.com/maps/search/?api=1&amp;query=31.72956,34.83285" TargetMode="External"/><Relationship Id="rId288" Type="http://schemas.openxmlformats.org/officeDocument/2006/relationships/hyperlink" Target="https://waze.com/ul?ll=31.72956,34.83285&amp;navigate=yes" TargetMode="External"/><Relationship Id="rId289" Type="http://schemas.openxmlformats.org/officeDocument/2006/relationships/hyperlink" Target="https://www.google.com/maps/search/?api=1&amp;query=31.66148,34.68244" TargetMode="External"/><Relationship Id="rId290" Type="http://schemas.openxmlformats.org/officeDocument/2006/relationships/hyperlink" Target="https://waze.com/ul?ll=31.66148,34.68244&amp;navigate=yes" TargetMode="External"/><Relationship Id="rId291" Type="http://schemas.openxmlformats.org/officeDocument/2006/relationships/hyperlink" Target="https://www.google.com/maps/search/?api=1&amp;query=31.77379,34.81588" TargetMode="External"/><Relationship Id="rId292" Type="http://schemas.openxmlformats.org/officeDocument/2006/relationships/hyperlink" Target="https://waze.com/ul?ll=31.77379,34.81588&amp;navigate=yes" TargetMode="External"/><Relationship Id="rId293" Type="http://schemas.openxmlformats.org/officeDocument/2006/relationships/hyperlink" Target="https://www.google.com/maps/search/?api=1&amp;query=31.64505,34.67716" TargetMode="External"/><Relationship Id="rId294" Type="http://schemas.openxmlformats.org/officeDocument/2006/relationships/hyperlink" Target="https://waze.com/ul?ll=31.64505,34.67716&amp;navigate=yes" TargetMode="External"/><Relationship Id="rId295" Type="http://schemas.openxmlformats.org/officeDocument/2006/relationships/hyperlink" Target="https://www.google.com/maps/search/?api=1&amp;query=31.74549,34.79279" TargetMode="External"/><Relationship Id="rId296" Type="http://schemas.openxmlformats.org/officeDocument/2006/relationships/hyperlink" Target="https://waze.com/ul?ll=31.74549,34.79279&amp;navigate=yes" TargetMode="External"/><Relationship Id="rId297" Type="http://schemas.openxmlformats.org/officeDocument/2006/relationships/hyperlink" Target="https://www.google.com/maps/search/?api=1&amp;query=31.65819,34.79454" TargetMode="External"/><Relationship Id="rId298" Type="http://schemas.openxmlformats.org/officeDocument/2006/relationships/hyperlink" Target="https://waze.com/ul?ll=31.65819,34.79454&amp;navigate=yes" TargetMode="External"/><Relationship Id="rId299" Type="http://schemas.openxmlformats.org/officeDocument/2006/relationships/hyperlink" Target="https://www.google.com/maps/search/?api=1&amp;query=31.66987,34.78025" TargetMode="External"/><Relationship Id="rId300" Type="http://schemas.openxmlformats.org/officeDocument/2006/relationships/hyperlink" Target="https://waze.com/ul?ll=31.66987,34.78025&amp;navigate=yes" TargetMode="External"/><Relationship Id="rId301" Type="http://schemas.openxmlformats.org/officeDocument/2006/relationships/hyperlink" Target="https://www.google.com/maps/search/?api=1&amp;query=31.77256,34.72025" TargetMode="External"/><Relationship Id="rId302" Type="http://schemas.openxmlformats.org/officeDocument/2006/relationships/hyperlink" Target="https://waze.com/ul?ll=31.77256,34.72025&amp;navigate=yes" TargetMode="External"/><Relationship Id="rId303" Type="http://schemas.openxmlformats.org/officeDocument/2006/relationships/hyperlink" Target="https://www.google.com/maps/search/?api=1&amp;query=31.71023,34.74315" TargetMode="External"/><Relationship Id="rId304" Type="http://schemas.openxmlformats.org/officeDocument/2006/relationships/hyperlink" Target="https://waze.com/ul?ll=31.71023,34.74315&amp;navigate=yes" TargetMode="External"/><Relationship Id="rId305" Type="http://schemas.openxmlformats.org/officeDocument/2006/relationships/hyperlink" Target="https://www.google.com/maps/search/?api=1&amp;query=31.74213,34.73444" TargetMode="External"/><Relationship Id="rId306" Type="http://schemas.openxmlformats.org/officeDocument/2006/relationships/hyperlink" Target="https://waze.com/ul?ll=31.74213,34.73444&amp;navigate=yes" TargetMode="External"/><Relationship Id="rId307" Type="http://schemas.openxmlformats.org/officeDocument/2006/relationships/hyperlink" Target="https://www.google.com/maps/search/?api=1&amp;query=31.74361,34.67618" TargetMode="External"/><Relationship Id="rId308" Type="http://schemas.openxmlformats.org/officeDocument/2006/relationships/hyperlink" Target="https://waze.com/ul?ll=31.74361,34.67618&amp;navigate=yes" TargetMode="External"/><Relationship Id="rId309" Type="http://schemas.openxmlformats.org/officeDocument/2006/relationships/hyperlink" Target="https://www.google.com/maps/search/?api=1&amp;query=31.73451,34.72372" TargetMode="External"/><Relationship Id="rId310" Type="http://schemas.openxmlformats.org/officeDocument/2006/relationships/hyperlink" Target="https://waze.com/ul?ll=31.73451,34.72372&amp;navigate=yes" TargetMode="External"/><Relationship Id="rId311" Type="http://schemas.openxmlformats.org/officeDocument/2006/relationships/hyperlink" Target="https://www.google.com/maps/search/?api=1&amp;query=31.7373,34.65532" TargetMode="External"/><Relationship Id="rId312" Type="http://schemas.openxmlformats.org/officeDocument/2006/relationships/hyperlink" Target="https://waze.com/ul?ll=31.7373,34.65532&amp;navigate=yes" TargetMode="External"/><Relationship Id="rId313" Type="http://schemas.openxmlformats.org/officeDocument/2006/relationships/hyperlink" Target="https://www.google.com/maps/search/?api=1&amp;query=31.79613,34.72921" TargetMode="External"/><Relationship Id="rId314" Type="http://schemas.openxmlformats.org/officeDocument/2006/relationships/hyperlink" Target="https://waze.com/ul?ll=31.79613,34.72921&amp;navigate=yes" TargetMode="External"/><Relationship Id="rId315" Type="http://schemas.openxmlformats.org/officeDocument/2006/relationships/hyperlink" Target="https://www.google.com/maps/search/?api=1&amp;query=31.73299,34.68046" TargetMode="External"/><Relationship Id="rId316" Type="http://schemas.openxmlformats.org/officeDocument/2006/relationships/hyperlink" Target="https://waze.com/ul?ll=31.73299,34.68046&amp;navigate=yes" TargetMode="External"/><Relationship Id="rId317" Type="http://schemas.openxmlformats.org/officeDocument/2006/relationships/hyperlink" Target="https://www.google.com/maps/search/?api=1&amp;query=31.78103,34.76961" TargetMode="External"/><Relationship Id="rId318" Type="http://schemas.openxmlformats.org/officeDocument/2006/relationships/hyperlink" Target="https://waze.com/ul?ll=31.78103,34.76961&amp;navigate=yes" TargetMode="External"/><Relationship Id="rId319" Type="http://schemas.openxmlformats.org/officeDocument/2006/relationships/hyperlink" Target="https://www.google.com/maps/search/?api=1&amp;query=31.74256,34.7814" TargetMode="External"/><Relationship Id="rId320" Type="http://schemas.openxmlformats.org/officeDocument/2006/relationships/hyperlink" Target="https://waze.com/ul?ll=31.74256,34.7814&amp;navigate=yes" TargetMode="External"/><Relationship Id="rId321" Type="http://schemas.openxmlformats.org/officeDocument/2006/relationships/hyperlink" Target="https://www.google.com/maps/search/?api=1&amp;query=31.74455,34.75691" TargetMode="External"/><Relationship Id="rId322" Type="http://schemas.openxmlformats.org/officeDocument/2006/relationships/hyperlink" Target="https://waze.com/ul?ll=31.74455,34.75691&amp;navigate=yes" TargetMode="External"/><Relationship Id="rId323" Type="http://schemas.openxmlformats.org/officeDocument/2006/relationships/hyperlink" Target="https://www.google.com/maps/search/?api=1&amp;query=31.7191,34.72664" TargetMode="External"/><Relationship Id="rId324" Type="http://schemas.openxmlformats.org/officeDocument/2006/relationships/hyperlink" Target="https://waze.com/ul?ll=31.7191,34.72664&amp;navigate=yes" TargetMode="External"/><Relationship Id="rId325" Type="http://schemas.openxmlformats.org/officeDocument/2006/relationships/hyperlink" Target="https://www.google.com/maps/search/?api=1&amp;query=31.80555,34.74109" TargetMode="External"/><Relationship Id="rId326" Type="http://schemas.openxmlformats.org/officeDocument/2006/relationships/hyperlink" Target="https://waze.com/ul?ll=31.80555,34.74109&amp;navigate=yes" TargetMode="External"/><Relationship Id="rId327" Type="http://schemas.openxmlformats.org/officeDocument/2006/relationships/hyperlink" Target="https://www.google.com/maps/search/?api=1&amp;query=31.67177,34.75483" TargetMode="External"/><Relationship Id="rId328" Type="http://schemas.openxmlformats.org/officeDocument/2006/relationships/hyperlink" Target="https://waze.com/ul?ll=31.67177,34.75483&amp;navigate=yes" TargetMode="External"/><Relationship Id="rId329" Type="http://schemas.openxmlformats.org/officeDocument/2006/relationships/hyperlink" Target="https://www.google.com/maps/search/?api=1&amp;query=31.75082,34.69704" TargetMode="External"/><Relationship Id="rId330" Type="http://schemas.openxmlformats.org/officeDocument/2006/relationships/hyperlink" Target="https://waze.com/ul?ll=31.75082,34.69704&amp;navigate=yes" TargetMode="External"/><Relationship Id="rId331" Type="http://schemas.openxmlformats.org/officeDocument/2006/relationships/hyperlink" Target="https://www.google.com/maps/search/?api=1&amp;query=31.73414,34.77236" TargetMode="External"/><Relationship Id="rId332" Type="http://schemas.openxmlformats.org/officeDocument/2006/relationships/hyperlink" Target="https://waze.com/ul?ll=31.73414,34.77236&amp;navigate=yes" TargetMode="External"/><Relationship Id="rId333" Type="http://schemas.openxmlformats.org/officeDocument/2006/relationships/hyperlink" Target="https://www.google.com/maps/search/?api=1&amp;query=31.75642,34.67769" TargetMode="External"/><Relationship Id="rId334" Type="http://schemas.openxmlformats.org/officeDocument/2006/relationships/hyperlink" Target="https://waze.com/ul?ll=31.75642,34.67769&amp;navigate=yes" TargetMode="External"/><Relationship Id="rId335" Type="http://schemas.openxmlformats.org/officeDocument/2006/relationships/hyperlink" Target="https://www.google.com/maps/search/?api=1&amp;query=31.77376,34.68361" TargetMode="External"/><Relationship Id="rId336" Type="http://schemas.openxmlformats.org/officeDocument/2006/relationships/hyperlink" Target="https://waze.com/ul?ll=31.77376,34.68361&amp;navigate=yes" TargetMode="External"/><Relationship Id="rId337" Type="http://schemas.openxmlformats.org/officeDocument/2006/relationships/hyperlink" Target="https://www.google.com/maps/search/?api=1&amp;query=31.75323,34.76278" TargetMode="External"/><Relationship Id="rId338" Type="http://schemas.openxmlformats.org/officeDocument/2006/relationships/hyperlink" Target="https://waze.com/ul?ll=31.75323,34.76278&amp;navigate=yes" TargetMode="External"/><Relationship Id="rId339" Type="http://schemas.openxmlformats.org/officeDocument/2006/relationships/hyperlink" Target="https://www.google.com/maps/search/?api=1&amp;query=31.71543,34.75852" TargetMode="External"/><Relationship Id="rId340" Type="http://schemas.openxmlformats.org/officeDocument/2006/relationships/hyperlink" Target="https://waze.com/ul?ll=31.71543,34.75852&amp;navigate=yes" TargetMode="External"/><Relationship Id="rId341" Type="http://schemas.openxmlformats.org/officeDocument/2006/relationships/hyperlink" Target="https://www.google.com/maps/search/?api=1&amp;query=31.45256,35.3847" TargetMode="External"/><Relationship Id="rId342" Type="http://schemas.openxmlformats.org/officeDocument/2006/relationships/hyperlink" Target="https://waze.com/ul?ll=31.45256,35.3847&amp;navigate=yes" TargetMode="External"/><Relationship Id="rId343" Type="http://schemas.openxmlformats.org/officeDocument/2006/relationships/hyperlink" Target="https://www.google.com/maps/search/?api=1&amp;query=30.93369,35.37817" TargetMode="External"/><Relationship Id="rId344" Type="http://schemas.openxmlformats.org/officeDocument/2006/relationships/hyperlink" Target="https://waze.com/ul?ll=30.93369,35.37817&amp;navigate=yes" TargetMode="External"/><Relationship Id="rId345" Type="http://schemas.openxmlformats.org/officeDocument/2006/relationships/hyperlink" Target="https://www.google.com/maps/search/?api=1&amp;query=30.7985,35.24586" TargetMode="External"/><Relationship Id="rId346" Type="http://schemas.openxmlformats.org/officeDocument/2006/relationships/hyperlink" Target="https://waze.com/ul?ll=30.7985,35.24586&amp;navigate=yes" TargetMode="External"/><Relationship Id="rId347" Type="http://schemas.openxmlformats.org/officeDocument/2006/relationships/hyperlink" Target="https://www.google.com/maps/search/?api=1&amp;query=30.94298,35.374" TargetMode="External"/><Relationship Id="rId348" Type="http://schemas.openxmlformats.org/officeDocument/2006/relationships/hyperlink" Target="https://waze.com/ul?ll=30.94298,35.374&amp;navigate=yes" TargetMode="External"/><Relationship Id="rId349" Type="http://schemas.openxmlformats.org/officeDocument/2006/relationships/hyperlink" Target="https://www.google.com/maps/search/?api=1&amp;query=31.34342,35.10202" TargetMode="External"/><Relationship Id="rId350" Type="http://schemas.openxmlformats.org/officeDocument/2006/relationships/hyperlink" Target="https://waze.com/ul?ll=31.34342,35.10202&amp;navigate=yes" TargetMode="External"/><Relationship Id="rId351" Type="http://schemas.openxmlformats.org/officeDocument/2006/relationships/hyperlink" Target="https://www.google.com/maps/search/?api=1&amp;query=30.80659,35.30041" TargetMode="External"/><Relationship Id="rId352" Type="http://schemas.openxmlformats.org/officeDocument/2006/relationships/hyperlink" Target="https://waze.com/ul?ll=30.80659,35.30041&amp;navigate=yes" TargetMode="External"/><Relationship Id="rId353" Type="http://schemas.openxmlformats.org/officeDocument/2006/relationships/hyperlink" Target="https://www.google.com/maps/search/?api=1&amp;query=30.76836,35.27979" TargetMode="External"/><Relationship Id="rId354" Type="http://schemas.openxmlformats.org/officeDocument/2006/relationships/hyperlink" Target="https://waze.com/ul?ll=30.76836,35.27979&amp;navigate=yes" TargetMode="External"/><Relationship Id="rId355" Type="http://schemas.openxmlformats.org/officeDocument/2006/relationships/hyperlink" Target="https://www.google.com/maps/search/?api=1&amp;query=30.65807,35.23745" TargetMode="External"/><Relationship Id="rId356" Type="http://schemas.openxmlformats.org/officeDocument/2006/relationships/hyperlink" Target="https://waze.com/ul?ll=30.65807,35.23745&amp;navigate=yes" TargetMode="External"/><Relationship Id="rId357" Type="http://schemas.openxmlformats.org/officeDocument/2006/relationships/hyperlink" Target="https://www.google.com/maps/search/?api=1&amp;query=30.56029,35.18061" TargetMode="External"/><Relationship Id="rId358" Type="http://schemas.openxmlformats.org/officeDocument/2006/relationships/hyperlink" Target="https://waze.com/ul?ll=30.56029,35.18061&amp;navigate=yes" TargetMode="External"/><Relationship Id="rId359" Type="http://schemas.openxmlformats.org/officeDocument/2006/relationships/hyperlink" Target="https://www.google.com/maps/search/?api=1&amp;query=30.36319,35.15455" TargetMode="External"/><Relationship Id="rId360" Type="http://schemas.openxmlformats.org/officeDocument/2006/relationships/hyperlink" Target="https://waze.com/ul?ll=30.36319,35.15455&amp;navigate=yes" TargetMode="External"/><Relationship Id="rId361" Type="http://schemas.openxmlformats.org/officeDocument/2006/relationships/hyperlink" Target="https://www.google.com/maps/search/?api=1&amp;query=30.61468,35.18425" TargetMode="External"/><Relationship Id="rId362" Type="http://schemas.openxmlformats.org/officeDocument/2006/relationships/hyperlink" Target="https://waze.com/ul?ll=30.61468,35.18425&amp;navigate=yes" TargetMode="External"/><Relationship Id="rId363" Type="http://schemas.openxmlformats.org/officeDocument/2006/relationships/hyperlink" Target="https://www.google.com/maps/search/?api=1&amp;query=30.49119,35.16625" TargetMode="External"/><Relationship Id="rId364" Type="http://schemas.openxmlformats.org/officeDocument/2006/relationships/hyperlink" Target="https://waze.com/ul?ll=30.49119,35.16625&amp;navigate=yes" TargetMode="External"/><Relationship Id="rId365" Type="http://schemas.openxmlformats.org/officeDocument/2006/relationships/hyperlink" Target="https://www.google.com/maps/search/?api=1&amp;query=29.58141,34.96276" TargetMode="External"/><Relationship Id="rId366" Type="http://schemas.openxmlformats.org/officeDocument/2006/relationships/hyperlink" Target="https://waze.com/ul?ll=29.58141,34.96276&amp;navigate=yes" TargetMode="External"/><Relationship Id="rId367" Type="http://schemas.openxmlformats.org/officeDocument/2006/relationships/hyperlink" Target="https://www.google.com/maps/search/?api=1&amp;query=29.79502,35.01127" TargetMode="External"/><Relationship Id="rId368" Type="http://schemas.openxmlformats.org/officeDocument/2006/relationships/hyperlink" Target="https://waze.com/ul?ll=29.79502,35.01127&amp;navigate=yes" TargetMode="External"/><Relationship Id="rId369" Type="http://schemas.openxmlformats.org/officeDocument/2006/relationships/hyperlink" Target="https://www.google.com/maps/search/?api=1&amp;query=29.94114,35.06444" TargetMode="External"/><Relationship Id="rId370" Type="http://schemas.openxmlformats.org/officeDocument/2006/relationships/hyperlink" Target="https://waze.com/ul?ll=29.94114,35.06444&amp;navigate=yes" TargetMode="External"/><Relationship Id="rId371" Type="http://schemas.openxmlformats.org/officeDocument/2006/relationships/hyperlink" Target="https://www.google.com/maps/search/?api=1&amp;query=30.08354,35.12824" TargetMode="External"/><Relationship Id="rId372" Type="http://schemas.openxmlformats.org/officeDocument/2006/relationships/hyperlink" Target="https://waze.com/ul?ll=30.08354,35.12824&amp;navigate=yes" TargetMode="External"/><Relationship Id="rId373" Type="http://schemas.openxmlformats.org/officeDocument/2006/relationships/hyperlink" Target="https://www.google.com/maps/search/?api=1&amp;query=29.89504,35.06015" TargetMode="External"/><Relationship Id="rId374" Type="http://schemas.openxmlformats.org/officeDocument/2006/relationships/hyperlink" Target="https://waze.com/ul?ll=29.89504,35.06015&amp;navigate=yes" TargetMode="External"/><Relationship Id="rId375" Type="http://schemas.openxmlformats.org/officeDocument/2006/relationships/hyperlink" Target="https://www.google.com/maps/search/?api=1&amp;query=29.98771,35.08707" TargetMode="External"/><Relationship Id="rId376" Type="http://schemas.openxmlformats.org/officeDocument/2006/relationships/hyperlink" Target="https://waze.com/ul?ll=29.98771,35.08707&amp;navigate=yes" TargetMode="External"/><Relationship Id="rId377" Type="http://schemas.openxmlformats.org/officeDocument/2006/relationships/hyperlink" Target="https://www.google.com/maps/search/?api=1&amp;query=30.0497,35.02665" TargetMode="External"/><Relationship Id="rId378" Type="http://schemas.openxmlformats.org/officeDocument/2006/relationships/hyperlink" Target="https://waze.com/ul?ll=30.0497,35.02665&amp;navigate=yes" TargetMode="External"/><Relationship Id="rId379" Type="http://schemas.openxmlformats.org/officeDocument/2006/relationships/hyperlink" Target="https://www.google.com/maps/search/?api=1&amp;query=30.03799,35.03724" TargetMode="External"/><Relationship Id="rId380" Type="http://schemas.openxmlformats.org/officeDocument/2006/relationships/hyperlink" Target="https://waze.com/ul?ll=30.03799,35.03724&amp;navigate=yes" TargetMode="External"/><Relationship Id="rId381" Type="http://schemas.openxmlformats.org/officeDocument/2006/relationships/hyperlink" Target="https://www.google.com/maps/search/?api=1&amp;query=29.83229,35.02248" TargetMode="External"/><Relationship Id="rId382" Type="http://schemas.openxmlformats.org/officeDocument/2006/relationships/hyperlink" Target="https://waze.com/ul?ll=29.83229,35.02248&amp;navigate=yes" TargetMode="External"/><Relationship Id="rId383" Type="http://schemas.openxmlformats.org/officeDocument/2006/relationships/hyperlink" Target="https://www.google.com/maps/search/?api=1&amp;query=29.96991,35.06098" TargetMode="External"/><Relationship Id="rId384" Type="http://schemas.openxmlformats.org/officeDocument/2006/relationships/hyperlink" Target="https://waze.com/ul?ll=29.96991,35.06098&amp;navigate=yes" TargetMode="External"/><Relationship Id="rId385" Type="http://schemas.openxmlformats.org/officeDocument/2006/relationships/hyperlink" Target="https://www.google.com/maps/search/?api=1&amp;query=29.71073,34.98663" TargetMode="External"/><Relationship Id="rId386" Type="http://schemas.openxmlformats.org/officeDocument/2006/relationships/hyperlink" Target="https://waze.com/ul?ll=29.71073,34.98663&amp;navigate=yes" TargetMode="External"/><Relationship Id="rId387" Type="http://schemas.openxmlformats.org/officeDocument/2006/relationships/hyperlink" Target="https://www.google.com/maps/search/?api=1&amp;query=29.90434,34.99988" TargetMode="External"/><Relationship Id="rId388" Type="http://schemas.openxmlformats.org/officeDocument/2006/relationships/hyperlink" Target="https://waze.com/ul?ll=29.90434,34.99988&amp;navigate=yes" TargetMode="External"/><Relationship Id="rId389" Type="http://schemas.openxmlformats.org/officeDocument/2006/relationships/hyperlink" Target="https://www.google.com/maps/search/?api=1&amp;query=&#1489;&#1497;&#1514;%20&#1497;&#1514;&#1497;&#1512;%20&#1497;&#1513;&#1512;&#1488;&#1500;" TargetMode="External"/><Relationship Id="rId390" Type="http://schemas.openxmlformats.org/officeDocument/2006/relationships/hyperlink" Target="https://waze.com/ul?q=&#1489;&#1497;&#1514;%20&#1497;&#1514;&#1497;&#1512;" TargetMode="External"/><Relationship Id="rId391" Type="http://schemas.openxmlformats.org/officeDocument/2006/relationships/hyperlink" Target="https://www.google.com/maps/search/?api=1&amp;query=31.43149,35.18271" TargetMode="External"/><Relationship Id="rId392" Type="http://schemas.openxmlformats.org/officeDocument/2006/relationships/hyperlink" Target="https://waze.com/ul?ll=31.43149,35.18271&amp;navigate=yes" TargetMode="External"/><Relationship Id="rId393" Type="http://schemas.openxmlformats.org/officeDocument/2006/relationships/hyperlink" Target="https://www.google.com/maps/search/?api=1&amp;query=31.41362,35.16378" TargetMode="External"/><Relationship Id="rId394" Type="http://schemas.openxmlformats.org/officeDocument/2006/relationships/hyperlink" Target="https://waze.com/ul?ll=31.41362,35.16378&amp;navigate=yes" TargetMode="External"/><Relationship Id="rId395" Type="http://schemas.openxmlformats.org/officeDocument/2006/relationships/hyperlink" Target="https://www.google.com/maps/search/?api=1&amp;query=&#1495;&#1493;&#1493;&#1514;%20&#1489;&#1493;&#1491;&#1491;&#1497;&#1501;%20&#8212;%20&#1492;&#1512;%20&#1495;&#1489;&#1512;&#1493;&#1503;%20&#1497;&#1513;&#1512;&#1488;&#1500;" TargetMode="External"/><Relationship Id="rId396" Type="http://schemas.openxmlformats.org/officeDocument/2006/relationships/hyperlink" Target="https://waze.com/ul?q=&#1495;&#1493;&#1493;&#1514;%20&#1489;&#1493;&#1491;&#1491;&#1497;&#1501;%20&#8212;%20&#1492;&#1512;%20&#1495;&#1489;&#1512;&#1493;&#1503;" TargetMode="External"/><Relationship Id="rId397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6"/>
  </cols>
  <sheetData>
    <row r="1" customFormat="false" ht="16.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3" t="s">
        <v>2</v>
      </c>
      <c r="B4" s="2"/>
    </row>
    <row r="5" customFormat="false" ht="15" hidden="false" customHeight="false" outlineLevel="0" collapsed="false">
      <c r="A5" s="2" t="s">
        <v>3</v>
      </c>
      <c r="B5" s="2"/>
    </row>
    <row r="6" customFormat="false" ht="15" hidden="false" customHeight="false" outlineLevel="0" collapsed="false">
      <c r="A6" s="2" t="s">
        <v>4</v>
      </c>
      <c r="B6" s="2"/>
    </row>
    <row r="7" customFormat="false" ht="15" hidden="false" customHeight="false" outlineLevel="0" collapsed="false">
      <c r="A7" s="2" t="s">
        <v>5</v>
      </c>
      <c r="B7" s="2"/>
    </row>
    <row r="8" customFormat="false" ht="15" hidden="false" customHeight="false" outlineLevel="0" collapsed="false">
      <c r="A8" s="2"/>
      <c r="B8" s="2"/>
    </row>
    <row r="9" customFormat="false" ht="15" hidden="false" customHeight="false" outlineLevel="0" collapsed="false">
      <c r="A9" s="3" t="s">
        <v>6</v>
      </c>
      <c r="B9" s="2"/>
    </row>
    <row r="10" customFormat="false" ht="15" hidden="false" customHeight="false" outlineLevel="0" collapsed="false">
      <c r="A10" s="2" t="s">
        <v>7</v>
      </c>
      <c r="B10" s="4" t="n">
        <v>1</v>
      </c>
    </row>
    <row r="11" customFormat="false" ht="15" hidden="false" customHeight="false" outlineLevel="0" collapsed="false">
      <c r="A11" s="2" t="s">
        <v>8</v>
      </c>
      <c r="B11" s="4" t="n">
        <v>0.02</v>
      </c>
    </row>
    <row r="12" customFormat="false" ht="15" hidden="false" customHeight="false" outlineLevel="0" collapsed="false">
      <c r="A12" s="2" t="s">
        <v>9</v>
      </c>
      <c r="B12" s="2"/>
    </row>
    <row r="13" customFormat="false" ht="15" hidden="false" customHeight="false" outlineLevel="0" collapsed="false">
      <c r="A13" s="2"/>
      <c r="B13" s="2"/>
    </row>
    <row r="14" customFormat="false" ht="15" hidden="false" customHeight="false" outlineLevel="0" collapsed="false">
      <c r="A14" s="3" t="s">
        <v>10</v>
      </c>
      <c r="B14" s="2"/>
    </row>
    <row r="15" customFormat="false" ht="15" hidden="false" customHeight="false" outlineLevel="0" collapsed="false">
      <c r="A15" s="2" t="s">
        <v>11</v>
      </c>
      <c r="B15" s="5" t="n">
        <v>100000</v>
      </c>
    </row>
    <row r="16" customFormat="false" ht="15" hidden="false" customHeight="false" outlineLevel="0" collapsed="false">
      <c r="A16" s="2" t="s">
        <v>12</v>
      </c>
      <c r="B16" s="6" t="n">
        <f aca="false">SUM(רשימה!V2:V800)</f>
        <v>0</v>
      </c>
    </row>
    <row r="17" customFormat="false" ht="15" hidden="false" customHeight="false" outlineLevel="0" collapsed="false">
      <c r="A17" s="2" t="s">
        <v>13</v>
      </c>
      <c r="B17" s="7" t="n">
        <f aca="false">IFERROR(B16/B15,0)</f>
        <v>0</v>
      </c>
    </row>
    <row r="18" customFormat="false" ht="15" hidden="false" customHeight="false" outlineLevel="0" collapsed="false">
      <c r="A18" s="2"/>
      <c r="B18" s="2"/>
    </row>
    <row r="19" customFormat="false" ht="15" hidden="false" customHeight="false" outlineLevel="0" collapsed="false">
      <c r="A19" s="3" t="s">
        <v>14</v>
      </c>
      <c r="B19" s="2"/>
    </row>
    <row r="20" customFormat="false" ht="15" hidden="false" customHeight="false" outlineLevel="0" collapsed="false">
      <c r="A20" s="2" t="s">
        <v>15</v>
      </c>
      <c r="B20" s="2" t="s">
        <v>16</v>
      </c>
    </row>
    <row r="21" customFormat="false" ht="15" hidden="false" customHeight="false" outlineLevel="0" collapsed="false">
      <c r="A21" s="2" t="s">
        <v>17</v>
      </c>
      <c r="B21" s="2" t="s">
        <v>18</v>
      </c>
    </row>
    <row r="22" customFormat="false" ht="15" hidden="false" customHeight="false" outlineLevel="0" collapsed="false">
      <c r="A22" s="2" t="s">
        <v>19</v>
      </c>
      <c r="B22" s="2" t="s">
        <v>20</v>
      </c>
    </row>
    <row r="23" customFormat="false" ht="15" hidden="false" customHeight="false" outlineLevel="0" collapsed="false">
      <c r="A23" s="2" t="s">
        <v>21</v>
      </c>
      <c r="B23" s="2" t="s">
        <v>22</v>
      </c>
    </row>
    <row r="24" customFormat="false" ht="15" hidden="false" customHeight="false" outlineLevel="0" collapsed="false">
      <c r="A24" s="2" t="s">
        <v>23</v>
      </c>
      <c r="B24" s="2" t="s">
        <v>24</v>
      </c>
    </row>
    <row r="25" customFormat="false" ht="15" hidden="false" customHeight="false" outlineLevel="0" collapsed="false">
      <c r="A25" s="2"/>
      <c r="B25" s="2"/>
    </row>
    <row r="26" customFormat="false" ht="15" hidden="false" customHeight="false" outlineLevel="0" collapsed="false">
      <c r="A26" s="3" t="s">
        <v>25</v>
      </c>
      <c r="B26" s="2"/>
    </row>
    <row r="27" customFormat="false" ht="15" hidden="false" customHeight="false" outlineLevel="0" collapsed="false">
      <c r="A27" s="2" t="s">
        <v>26</v>
      </c>
      <c r="B27" s="2"/>
    </row>
    <row r="28" customFormat="false" ht="14.15" hidden="false" customHeight="false" outlineLevel="0" collapsed="false">
      <c r="A28" s="2" t="s">
        <v>27</v>
      </c>
      <c r="B28" s="2" t="s">
        <v>28</v>
      </c>
    </row>
    <row r="29" customFormat="false" ht="15" hidden="false" customHeight="false" outlineLevel="0" collapsed="false">
      <c r="A29" s="2" t="s">
        <v>29</v>
      </c>
      <c r="B29" s="2" t="s">
        <v>30</v>
      </c>
    </row>
    <row r="30" customFormat="false" ht="15" hidden="false" customHeight="false" outlineLevel="0" collapsed="false">
      <c r="A30" s="2" t="s">
        <v>31</v>
      </c>
      <c r="B30" s="2" t="s">
        <v>32</v>
      </c>
    </row>
    <row r="31" customFormat="false" ht="15" hidden="false" customHeight="false" outlineLevel="0" collapsed="false">
      <c r="A31" s="2"/>
      <c r="B31" s="2"/>
    </row>
    <row r="32" customFormat="false" ht="15" hidden="false" customHeight="false" outlineLevel="0" collapsed="false">
      <c r="A32" s="3" t="s">
        <v>33</v>
      </c>
      <c r="B32" s="2"/>
    </row>
    <row r="33" customFormat="false" ht="15" hidden="false" customHeight="false" outlineLevel="0" collapsed="false">
      <c r="A33" s="2" t="s">
        <v>34</v>
      </c>
      <c r="B33" s="2" t="s">
        <v>35</v>
      </c>
    </row>
    <row r="34" customFormat="false" ht="14.15" hidden="false" customHeight="false" outlineLevel="0" collapsed="false">
      <c r="A34" s="2" t="s">
        <v>36</v>
      </c>
      <c r="B34" s="2" t="s">
        <v>37</v>
      </c>
    </row>
    <row r="35" customFormat="false" ht="15" hidden="false" customHeight="false" outlineLevel="0" collapsed="false">
      <c r="A35" s="2" t="s">
        <v>38</v>
      </c>
      <c r="B35" s="2" t="s">
        <v>39</v>
      </c>
    </row>
    <row r="36" customFormat="false" ht="15" hidden="false" customHeight="false" outlineLevel="0" collapsed="false">
      <c r="A36" s="2" t="s">
        <v>40</v>
      </c>
      <c r="B36" s="2" t="s">
        <v>41</v>
      </c>
    </row>
    <row r="37" customFormat="false" ht="15" hidden="false" customHeight="false" outlineLevel="0" collapsed="false">
      <c r="A37" s="2"/>
      <c r="B37" s="2"/>
    </row>
    <row r="38" customFormat="false" ht="15" hidden="false" customHeight="false" outlineLevel="0" collapsed="false">
      <c r="A38" s="3" t="s">
        <v>42</v>
      </c>
      <c r="B38" s="2"/>
    </row>
    <row r="39" customFormat="false" ht="15" hidden="false" customHeight="false" outlineLevel="0" collapsed="false">
      <c r="A39" s="2" t="s">
        <v>43</v>
      </c>
      <c r="B39" s="2" t="s">
        <v>44</v>
      </c>
    </row>
    <row r="40" customFormat="false" ht="15" hidden="false" customHeight="false" outlineLevel="0" collapsed="false">
      <c r="A40" s="2" t="s">
        <v>45</v>
      </c>
      <c r="B40" s="2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9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24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3" min="12" style="0" width="16"/>
    <col collapsed="false" customWidth="true" hidden="false" outlineLevel="0" max="14" min="14" style="0" width="18"/>
    <col collapsed="false" customWidth="true" hidden="false" outlineLevel="0" max="15" min="15" style="0" width="20"/>
    <col collapsed="false" customWidth="true" hidden="false" outlineLevel="0" max="16" min="16" style="0" width="15"/>
    <col collapsed="false" customWidth="true" hidden="false" outlineLevel="0" max="17" min="17" style="0" width="12"/>
    <col collapsed="false" customWidth="true" hidden="false" outlineLevel="0" max="18" min="18" style="0" width="20"/>
    <col collapsed="false" customWidth="true" hidden="false" outlineLevel="0" max="20" min="19" style="0" width="15"/>
    <col collapsed="false" customWidth="true" hidden="false" outlineLevel="0" max="21" min="21" style="0" width="16"/>
    <col collapsed="false" customWidth="true" hidden="false" outlineLevel="0" max="22" min="22" style="0" width="13"/>
    <col collapsed="false" customWidth="true" hidden="false" outlineLevel="0" max="23" min="23" style="0" width="24"/>
    <col collapsed="false" customWidth="true" hidden="false" outlineLevel="0" max="24" min="24" style="0" width="18"/>
    <col collapsed="false" customWidth="true" hidden="false" outlineLevel="0" max="25" min="25" style="0" width="16"/>
    <col collapsed="false" customWidth="true" hidden="false" outlineLevel="0" max="26" min="26" style="0" width="15"/>
    <col collapsed="false" customWidth="true" hidden="false" outlineLevel="0" max="30" min="27" style="0" width="11"/>
    <col collapsed="false" customWidth="true" hidden="false" outlineLevel="0" max="31" min="31" style="0" width="9"/>
    <col collapsed="false" customWidth="true" hidden="false" outlineLevel="0" max="32" min="32" style="0" width="34"/>
  </cols>
  <sheetData>
    <row r="1" customFormat="false" ht="39.75" hidden="false" customHeight="true" outlineLevel="0" collapsed="false">
      <c r="A1" s="8" t="s">
        <v>47</v>
      </c>
      <c r="B1" s="8" t="s">
        <v>48</v>
      </c>
      <c r="C1" s="8" t="s">
        <v>49</v>
      </c>
      <c r="D1" s="8" t="s">
        <v>50</v>
      </c>
      <c r="E1" s="8" t="s">
        <v>51</v>
      </c>
      <c r="F1" s="8" t="s">
        <v>52</v>
      </c>
      <c r="G1" s="8" t="s">
        <v>53</v>
      </c>
      <c r="H1" s="8" t="s">
        <v>54</v>
      </c>
      <c r="I1" s="8" t="s">
        <v>55</v>
      </c>
      <c r="J1" s="8" t="s">
        <v>56</v>
      </c>
      <c r="K1" s="8" t="s">
        <v>57</v>
      </c>
      <c r="L1" s="8" t="s">
        <v>58</v>
      </c>
      <c r="M1" s="8" t="s">
        <v>59</v>
      </c>
      <c r="N1" s="8" t="s">
        <v>60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  <c r="U1" s="8" t="s">
        <v>67</v>
      </c>
      <c r="V1" s="8" t="s">
        <v>68</v>
      </c>
      <c r="W1" s="8" t="s">
        <v>69</v>
      </c>
      <c r="X1" s="8" t="s">
        <v>70</v>
      </c>
      <c r="Y1" s="8" t="s">
        <v>71</v>
      </c>
      <c r="Z1" s="8" t="s">
        <v>72</v>
      </c>
      <c r="AA1" s="8" t="s">
        <v>73</v>
      </c>
      <c r="AB1" s="8" t="s">
        <v>74</v>
      </c>
      <c r="AC1" s="8" t="s">
        <v>75</v>
      </c>
      <c r="AD1" s="8" t="s">
        <v>76</v>
      </c>
      <c r="AE1" s="8" t="s">
        <v>77</v>
      </c>
      <c r="AF1" s="8" t="s">
        <v>78</v>
      </c>
    </row>
    <row r="2" customFormat="false" ht="15" hidden="false" customHeight="false" outlineLevel="0" collapsed="false">
      <c r="A2" s="9" t="n">
        <v>1</v>
      </c>
      <c r="B2" s="10" t="str">
        <f aca="false">IF(C2="",IF(D2="",I2,"החווה של "&amp;D2),IF(D2="",C2,C2&amp;" - החווה של "&amp;D2))</f>
        <v>טללים</v>
      </c>
      <c r="C2" s="11"/>
      <c r="D2" s="11"/>
      <c r="E2" s="12"/>
      <c r="F2" s="12"/>
      <c r="G2" s="12"/>
      <c r="H2" s="12"/>
      <c r="I2" s="9" t="s">
        <v>79</v>
      </c>
      <c r="J2" s="9" t="n">
        <v>1177</v>
      </c>
      <c r="K2" s="9" t="s">
        <v>80</v>
      </c>
      <c r="L2" s="9" t="s">
        <v>81</v>
      </c>
      <c r="M2" s="9" t="s">
        <v>82</v>
      </c>
      <c r="N2" s="9" t="s">
        <v>83</v>
      </c>
      <c r="O2" s="12"/>
      <c r="P2" s="12"/>
      <c r="Q2" s="12"/>
      <c r="R2" s="13" t="n">
        <v>9000</v>
      </c>
      <c r="S2" s="14"/>
      <c r="T2" s="14"/>
      <c r="U2" s="14"/>
      <c r="V2" s="15" t="str">
        <f aca="false">IF(AND(S2="",T2=""),"",IFERROR(N(S2)*מקרא!$B$10+N(T2)*מקרא!$B$11,""))</f>
        <v/>
      </c>
      <c r="W2" s="12"/>
      <c r="X2" s="12"/>
      <c r="Y2" s="12"/>
      <c r="Z2" s="12"/>
      <c r="AA2" s="12"/>
      <c r="AB2" s="9" t="n">
        <v>30.99206</v>
      </c>
      <c r="AC2" s="9" t="n">
        <v>34.76999</v>
      </c>
      <c r="AD2" s="16" t="s">
        <v>84</v>
      </c>
      <c r="AE2" s="16" t="s">
        <v>77</v>
      </c>
      <c r="AF2" s="12"/>
    </row>
    <row r="3" customFormat="false" ht="15" hidden="false" customHeight="false" outlineLevel="0" collapsed="false">
      <c r="A3" s="9" t="n">
        <v>2</v>
      </c>
      <c r="B3" s="10" t="str">
        <f aca="false">IF(C3="",IF(D3="",I3,"החווה של "&amp;D3),IF(D3="",C3,C3&amp;" - החווה של "&amp;D3))</f>
        <v>משאבי שדה</v>
      </c>
      <c r="C3" s="11"/>
      <c r="D3" s="11"/>
      <c r="E3" s="12"/>
      <c r="F3" s="12"/>
      <c r="G3" s="12"/>
      <c r="H3" s="12"/>
      <c r="I3" s="9" t="s">
        <v>85</v>
      </c>
      <c r="J3" s="9" t="n">
        <v>421</v>
      </c>
      <c r="K3" s="9" t="s">
        <v>80</v>
      </c>
      <c r="L3" s="9" t="s">
        <v>81</v>
      </c>
      <c r="M3" s="9" t="s">
        <v>82</v>
      </c>
      <c r="N3" s="9" t="s">
        <v>83</v>
      </c>
      <c r="O3" s="12"/>
      <c r="P3" s="12"/>
      <c r="Q3" s="12"/>
      <c r="R3" s="13" t="n">
        <v>9000</v>
      </c>
      <c r="S3" s="14"/>
      <c r="T3" s="14"/>
      <c r="U3" s="14"/>
      <c r="V3" s="15" t="str">
        <f aca="false">IF(AND(S3="",T3=""),"",IFERROR(N(S3)*מקרא!$B$10+N(T3)*מקרא!$B$11,""))</f>
        <v/>
      </c>
      <c r="W3" s="12"/>
      <c r="X3" s="12"/>
      <c r="Y3" s="12"/>
      <c r="Z3" s="12"/>
      <c r="AA3" s="12"/>
      <c r="AB3" s="9" t="n">
        <v>31.00321</v>
      </c>
      <c r="AC3" s="9" t="n">
        <v>34.78617</v>
      </c>
      <c r="AD3" s="16" t="s">
        <v>84</v>
      </c>
      <c r="AE3" s="16" t="s">
        <v>77</v>
      </c>
      <c r="AF3" s="12"/>
    </row>
    <row r="4" customFormat="false" ht="15" hidden="false" customHeight="false" outlineLevel="0" collapsed="false">
      <c r="A4" s="9" t="n">
        <v>3</v>
      </c>
      <c r="B4" s="10" t="str">
        <f aca="false">IF(C4="",IF(D4="",I4,"החווה של "&amp;D4),IF(D4="",C4,C4&amp;" - החווה של "&amp;D4))</f>
        <v>רביבים</v>
      </c>
      <c r="C4" s="11"/>
      <c r="D4" s="11"/>
      <c r="E4" s="12"/>
      <c r="F4" s="12"/>
      <c r="G4" s="12"/>
      <c r="H4" s="12"/>
      <c r="I4" s="9" t="s">
        <v>86</v>
      </c>
      <c r="J4" s="9" t="n">
        <v>354</v>
      </c>
      <c r="K4" s="9" t="s">
        <v>80</v>
      </c>
      <c r="L4" s="9" t="s">
        <v>81</v>
      </c>
      <c r="M4" s="9" t="s">
        <v>82</v>
      </c>
      <c r="N4" s="9" t="s">
        <v>83</v>
      </c>
      <c r="O4" s="12"/>
      <c r="P4" s="12"/>
      <c r="Q4" s="12"/>
      <c r="R4" s="13" t="n">
        <v>9000</v>
      </c>
      <c r="S4" s="14"/>
      <c r="T4" s="14"/>
      <c r="U4" s="14"/>
      <c r="V4" s="15" t="str">
        <f aca="false">IF(AND(S4="",T4=""),"",IFERROR(N(S4)*מקרא!$B$10+N(T4)*מקרא!$B$11,""))</f>
        <v/>
      </c>
      <c r="W4" s="12"/>
      <c r="X4" s="12"/>
      <c r="Y4" s="12"/>
      <c r="Z4" s="12"/>
      <c r="AA4" s="12"/>
      <c r="AB4" s="9" t="n">
        <v>31.04393</v>
      </c>
      <c r="AC4" s="9" t="n">
        <v>34.72177</v>
      </c>
      <c r="AD4" s="16" t="s">
        <v>84</v>
      </c>
      <c r="AE4" s="16" t="s">
        <v>77</v>
      </c>
      <c r="AF4" s="12"/>
    </row>
    <row r="5" customFormat="false" ht="15" hidden="false" customHeight="false" outlineLevel="0" collapsed="false">
      <c r="A5" s="9" t="n">
        <v>4</v>
      </c>
      <c r="B5" s="10" t="str">
        <f aca="false">IF(C5="",IF(D5="",I5,"החווה של "&amp;D5),IF(D5="",C5,C5&amp;" - החווה של "&amp;D5))</f>
        <v>רתמים</v>
      </c>
      <c r="C5" s="11"/>
      <c r="D5" s="11"/>
      <c r="E5" s="12"/>
      <c r="F5" s="12"/>
      <c r="G5" s="12"/>
      <c r="H5" s="12"/>
      <c r="I5" s="9" t="s">
        <v>87</v>
      </c>
      <c r="J5" s="9" t="n">
        <v>1260</v>
      </c>
      <c r="K5" s="9" t="s">
        <v>80</v>
      </c>
      <c r="L5" s="9" t="s">
        <v>81</v>
      </c>
      <c r="M5" s="9" t="s">
        <v>82</v>
      </c>
      <c r="N5" s="9" t="s">
        <v>83</v>
      </c>
      <c r="O5" s="12"/>
      <c r="P5" s="12"/>
      <c r="Q5" s="12"/>
      <c r="R5" s="13" t="n">
        <v>9000</v>
      </c>
      <c r="S5" s="14"/>
      <c r="T5" s="14"/>
      <c r="U5" s="14"/>
      <c r="V5" s="15" t="str">
        <f aca="false">IF(AND(S5="",T5=""),"",IFERROR(N(S5)*מקרא!$B$10+N(T5)*מקרא!$B$11,""))</f>
        <v/>
      </c>
      <c r="W5" s="12"/>
      <c r="X5" s="12"/>
      <c r="Y5" s="12"/>
      <c r="Z5" s="12"/>
      <c r="AA5" s="12"/>
      <c r="AB5" s="9" t="n">
        <v>31.05373</v>
      </c>
      <c r="AC5" s="9" t="n">
        <v>34.68967</v>
      </c>
      <c r="AD5" s="16" t="s">
        <v>84</v>
      </c>
      <c r="AE5" s="16" t="s">
        <v>77</v>
      </c>
      <c r="AF5" s="12"/>
    </row>
    <row r="6" customFormat="false" ht="15" hidden="false" customHeight="false" outlineLevel="0" collapsed="false">
      <c r="A6" s="9" t="n">
        <v>5</v>
      </c>
      <c r="B6" s="10" t="str">
        <f aca="false">IF(C6="",IF(D6="",I6,"החווה של "&amp;D6),IF(D6="",C6,C6&amp;" - החווה של "&amp;D6))</f>
        <v>שדה בוקר</v>
      </c>
      <c r="C6" s="11"/>
      <c r="D6" s="11"/>
      <c r="E6" s="12"/>
      <c r="F6" s="12"/>
      <c r="G6" s="12"/>
      <c r="H6" s="12"/>
      <c r="I6" s="9" t="s">
        <v>88</v>
      </c>
      <c r="J6" s="9" t="n">
        <v>885</v>
      </c>
      <c r="K6" s="9" t="s">
        <v>80</v>
      </c>
      <c r="L6" s="9" t="s">
        <v>81</v>
      </c>
      <c r="M6" s="9" t="s">
        <v>82</v>
      </c>
      <c r="N6" s="9" t="s">
        <v>83</v>
      </c>
      <c r="O6" s="12"/>
      <c r="P6" s="12"/>
      <c r="Q6" s="12"/>
      <c r="R6" s="13" t="n">
        <v>9000</v>
      </c>
      <c r="S6" s="14"/>
      <c r="T6" s="14"/>
      <c r="U6" s="14"/>
      <c r="V6" s="15" t="str">
        <f aca="false">IF(AND(S6="",T6=""),"",IFERROR(N(S6)*מקרא!$B$10+N(T6)*מקרא!$B$11,""))</f>
        <v/>
      </c>
      <c r="W6" s="12"/>
      <c r="X6" s="12"/>
      <c r="Y6" s="12"/>
      <c r="Z6" s="12"/>
      <c r="AA6" s="12"/>
      <c r="AB6" s="9" t="n">
        <v>30.87326</v>
      </c>
      <c r="AC6" s="9" t="n">
        <v>34.79311</v>
      </c>
      <c r="AD6" s="16" t="s">
        <v>84</v>
      </c>
      <c r="AE6" s="16" t="s">
        <v>77</v>
      </c>
      <c r="AF6" s="12"/>
    </row>
    <row r="7" customFormat="false" ht="15" hidden="false" customHeight="false" outlineLevel="0" collapsed="false">
      <c r="A7" s="9" t="n">
        <v>6</v>
      </c>
      <c r="B7" s="10" t="str">
        <f aca="false">IF(C7="",IF(D7="",I7,"החווה של "&amp;D7),IF(D7="",C7,C7&amp;" - החווה של "&amp;D7))</f>
        <v>כמהין</v>
      </c>
      <c r="C7" s="11"/>
      <c r="D7" s="11"/>
      <c r="E7" s="12"/>
      <c r="F7" s="12"/>
      <c r="G7" s="12"/>
      <c r="H7" s="12"/>
      <c r="I7" s="9" t="s">
        <v>89</v>
      </c>
      <c r="J7" s="9" t="n">
        <v>1291</v>
      </c>
      <c r="K7" s="9" t="s">
        <v>90</v>
      </c>
      <c r="L7" s="9" t="s">
        <v>81</v>
      </c>
      <c r="M7" s="9" t="s">
        <v>82</v>
      </c>
      <c r="N7" s="9" t="s">
        <v>83</v>
      </c>
      <c r="O7" s="12"/>
      <c r="P7" s="12"/>
      <c r="Q7" s="12"/>
      <c r="R7" s="13" t="n">
        <v>3250</v>
      </c>
      <c r="S7" s="14"/>
      <c r="T7" s="14"/>
      <c r="U7" s="14"/>
      <c r="V7" s="15" t="str">
        <f aca="false">IF(AND(S7="",T7=""),"",IFERROR(N(S7)*מקרא!$B$10+N(T7)*מקרא!$B$11,""))</f>
        <v/>
      </c>
      <c r="W7" s="12"/>
      <c r="X7" s="12"/>
      <c r="Y7" s="12"/>
      <c r="Z7" s="12"/>
      <c r="AA7" s="12"/>
      <c r="AB7" s="9" t="n">
        <v>30.91066</v>
      </c>
      <c r="AC7" s="9" t="n">
        <v>34.43143</v>
      </c>
      <c r="AD7" s="16" t="s">
        <v>84</v>
      </c>
      <c r="AE7" s="16" t="s">
        <v>77</v>
      </c>
      <c r="AF7" s="12"/>
    </row>
    <row r="8" customFormat="false" ht="15" hidden="false" customHeight="false" outlineLevel="0" collapsed="false">
      <c r="A8" s="9" t="n">
        <v>7</v>
      </c>
      <c r="B8" s="10" t="str">
        <f aca="false">IF(C8="",IF(D8="",I8,"החווה של "&amp;D8),IF(D8="",C8,C8&amp;" - החווה של "&amp;D8))</f>
        <v>קדש ברנע</v>
      </c>
      <c r="C8" s="11"/>
      <c r="D8" s="11"/>
      <c r="E8" s="12"/>
      <c r="F8" s="12"/>
      <c r="G8" s="12"/>
      <c r="H8" s="12"/>
      <c r="I8" s="9" t="s">
        <v>91</v>
      </c>
      <c r="J8" s="9"/>
      <c r="K8" s="9" t="s">
        <v>90</v>
      </c>
      <c r="L8" s="9" t="s">
        <v>81</v>
      </c>
      <c r="M8" s="9" t="s">
        <v>82</v>
      </c>
      <c r="N8" s="9" t="s">
        <v>83</v>
      </c>
      <c r="O8" s="12"/>
      <c r="P8" s="12"/>
      <c r="Q8" s="12"/>
      <c r="R8" s="13" t="n">
        <v>3250</v>
      </c>
      <c r="S8" s="14"/>
      <c r="T8" s="14"/>
      <c r="U8" s="14"/>
      <c r="V8" s="15" t="str">
        <f aca="false">IF(AND(S8="",T8=""),"",IFERROR(N(S8)*מקרא!$B$10+N(T8)*מקרא!$B$11,""))</f>
        <v/>
      </c>
      <c r="W8" s="12"/>
      <c r="X8" s="12"/>
      <c r="Y8" s="12"/>
      <c r="Z8" s="12"/>
      <c r="AA8" s="12"/>
      <c r="AB8" s="9"/>
      <c r="AC8" s="9"/>
      <c r="AD8" s="16" t="s">
        <v>84</v>
      </c>
      <c r="AE8" s="16" t="s">
        <v>77</v>
      </c>
      <c r="AF8" s="12"/>
    </row>
    <row r="9" customFormat="false" ht="15" hidden="false" customHeight="false" outlineLevel="0" collapsed="false">
      <c r="A9" s="9" t="n">
        <v>8</v>
      </c>
      <c r="B9" s="10" t="str">
        <f aca="false">IF(C9="",IF(D9="",I9,"החווה של "&amp;D9),IF(D9="",C9,C9&amp;" - החווה של "&amp;D9))</f>
        <v>עזוז</v>
      </c>
      <c r="C9" s="11"/>
      <c r="D9" s="11"/>
      <c r="E9" s="12"/>
      <c r="F9" s="12"/>
      <c r="G9" s="12"/>
      <c r="H9" s="12"/>
      <c r="I9" s="9" t="s">
        <v>92</v>
      </c>
      <c r="J9" s="9" t="n">
        <v>328</v>
      </c>
      <c r="K9" s="9" t="s">
        <v>93</v>
      </c>
      <c r="L9" s="9" t="s">
        <v>81</v>
      </c>
      <c r="M9" s="9" t="s">
        <v>82</v>
      </c>
      <c r="N9" s="9" t="s">
        <v>83</v>
      </c>
      <c r="O9" s="12"/>
      <c r="P9" s="12"/>
      <c r="Q9" s="12"/>
      <c r="R9" s="13" t="n">
        <v>700</v>
      </c>
      <c r="S9" s="14"/>
      <c r="T9" s="14"/>
      <c r="U9" s="14"/>
      <c r="V9" s="15" t="str">
        <f aca="false">IF(AND(S9="",T9=""),"",IFERROR(N(S9)*מקרא!$B$10+N(T9)*מקרא!$B$11,""))</f>
        <v/>
      </c>
      <c r="W9" s="12"/>
      <c r="X9" s="12"/>
      <c r="Y9" s="12"/>
      <c r="Z9" s="12"/>
      <c r="AA9" s="12"/>
      <c r="AB9" s="9" t="n">
        <v>30.7923</v>
      </c>
      <c r="AC9" s="9" t="n">
        <v>34.47271</v>
      </c>
      <c r="AD9" s="16" t="s">
        <v>84</v>
      </c>
      <c r="AE9" s="16" t="s">
        <v>77</v>
      </c>
      <c r="AF9" s="12"/>
    </row>
    <row r="10" customFormat="false" ht="15" hidden="false" customHeight="false" outlineLevel="0" collapsed="false">
      <c r="A10" s="9" t="n">
        <v>9</v>
      </c>
      <c r="B10" s="10" t="str">
        <f aca="false">IF(C10="",IF(D10="",I10,"החווה של "&amp;D10),IF(D10="",C10,C10&amp;" - החווה של "&amp;D10))</f>
        <v>אשלים</v>
      </c>
      <c r="C10" s="11"/>
      <c r="D10" s="11"/>
      <c r="E10" s="12"/>
      <c r="F10" s="12"/>
      <c r="G10" s="12"/>
      <c r="H10" s="12"/>
      <c r="I10" s="9" t="s">
        <v>94</v>
      </c>
      <c r="J10" s="9" t="n">
        <v>1152</v>
      </c>
      <c r="K10" s="9" t="s">
        <v>93</v>
      </c>
      <c r="L10" s="9" t="s">
        <v>81</v>
      </c>
      <c r="M10" s="9" t="s">
        <v>82</v>
      </c>
      <c r="N10" s="9" t="s">
        <v>83</v>
      </c>
      <c r="O10" s="12"/>
      <c r="P10" s="12"/>
      <c r="Q10" s="12"/>
      <c r="R10" s="13" t="n">
        <v>700</v>
      </c>
      <c r="S10" s="14"/>
      <c r="T10" s="14"/>
      <c r="U10" s="14"/>
      <c r="V10" s="15" t="str">
        <f aca="false">IF(AND(S10="",T10=""),"",IFERROR(N(S10)*מקרא!$B$10+N(T10)*מקרא!$B$11,""))</f>
        <v/>
      </c>
      <c r="W10" s="12"/>
      <c r="X10" s="12"/>
      <c r="Y10" s="12"/>
      <c r="Z10" s="12"/>
      <c r="AA10" s="12"/>
      <c r="AB10" s="9" t="n">
        <v>30.96448</v>
      </c>
      <c r="AC10" s="9" t="n">
        <v>34.69999</v>
      </c>
      <c r="AD10" s="16" t="s">
        <v>84</v>
      </c>
      <c r="AE10" s="16" t="s">
        <v>77</v>
      </c>
      <c r="AF10" s="12"/>
    </row>
    <row r="11" customFormat="false" ht="15" hidden="false" customHeight="false" outlineLevel="0" collapsed="false">
      <c r="A11" s="9" t="n">
        <v>10</v>
      </c>
      <c r="B11" s="10" t="str">
        <f aca="false">IF(C11="",IF(D11="",I11,"החווה של "&amp;D11),IF(D11="",C11,C11&amp;" - החווה של "&amp;D11))</f>
        <v>חוות בודדים — רמת נגב (כ-23 חוות)</v>
      </c>
      <c r="C11" s="11"/>
      <c r="D11" s="11"/>
      <c r="E11" s="12"/>
      <c r="F11" s="12"/>
      <c r="G11" s="12"/>
      <c r="H11" s="12"/>
      <c r="I11" s="9" t="s">
        <v>95</v>
      </c>
      <c r="J11" s="9"/>
      <c r="K11" s="9" t="s">
        <v>96</v>
      </c>
      <c r="L11" s="9" t="s">
        <v>81</v>
      </c>
      <c r="M11" s="9" t="s">
        <v>82</v>
      </c>
      <c r="N11" s="9" t="s">
        <v>83</v>
      </c>
      <c r="O11" s="12"/>
      <c r="P11" s="12"/>
      <c r="Q11" s="12"/>
      <c r="R11" s="13" t="n">
        <v>17500</v>
      </c>
      <c r="S11" s="14"/>
      <c r="T11" s="14"/>
      <c r="U11" s="14"/>
      <c r="V11" s="15" t="str">
        <f aca="false">IF(AND(S11="",T11=""),"",IFERROR(N(S11)*מקרא!$B$10+N(T11)*מקרא!$B$11,""))</f>
        <v/>
      </c>
      <c r="W11" s="12"/>
      <c r="X11" s="12"/>
      <c r="Y11" s="12"/>
      <c r="Z11" s="12"/>
      <c r="AA11" s="12"/>
      <c r="AB11" s="9"/>
      <c r="AC11" s="9"/>
      <c r="AD11" s="16" t="s">
        <v>84</v>
      </c>
      <c r="AE11" s="16" t="s">
        <v>77</v>
      </c>
      <c r="AF11" s="12" t="s">
        <v>97</v>
      </c>
    </row>
    <row r="12" customFormat="false" ht="15" hidden="false" customHeight="false" outlineLevel="0" collapsed="false">
      <c r="A12" s="9" t="n">
        <v>11</v>
      </c>
      <c r="B12" s="10" t="str">
        <f aca="false">IF(C12="",IF(D12="",I12,"החווה של "&amp;D12),IF(D12="",C12,C12&amp;" - החווה של "&amp;D12))</f>
        <v>אורים</v>
      </c>
      <c r="C12" s="11"/>
      <c r="D12" s="11"/>
      <c r="E12" s="12"/>
      <c r="F12" s="12"/>
      <c r="G12" s="12"/>
      <c r="H12" s="12"/>
      <c r="I12" s="9" t="s">
        <v>98</v>
      </c>
      <c r="J12" s="9" t="n">
        <v>403</v>
      </c>
      <c r="K12" s="9" t="s">
        <v>80</v>
      </c>
      <c r="L12" s="9" t="s">
        <v>99</v>
      </c>
      <c r="M12" s="9" t="s">
        <v>82</v>
      </c>
      <c r="N12" s="9" t="s">
        <v>100</v>
      </c>
      <c r="O12" s="12"/>
      <c r="P12" s="12"/>
      <c r="Q12" s="12"/>
      <c r="R12" s="13" t="n">
        <v>9000</v>
      </c>
      <c r="S12" s="14"/>
      <c r="T12" s="14"/>
      <c r="U12" s="14"/>
      <c r="V12" s="15" t="str">
        <f aca="false">IF(AND(S12="",T12=""),"",IFERROR(N(S12)*מקרא!$B$10+N(T12)*מקרא!$B$11,""))</f>
        <v/>
      </c>
      <c r="W12" s="12"/>
      <c r="X12" s="12"/>
      <c r="Y12" s="12"/>
      <c r="Z12" s="12"/>
      <c r="AA12" s="12"/>
      <c r="AB12" s="9" t="n">
        <v>31.30413</v>
      </c>
      <c r="AC12" s="9" t="n">
        <v>34.52256</v>
      </c>
      <c r="AD12" s="16" t="s">
        <v>84</v>
      </c>
      <c r="AE12" s="16" t="s">
        <v>77</v>
      </c>
      <c r="AF12" s="12" t="s">
        <v>101</v>
      </c>
    </row>
    <row r="13" customFormat="false" ht="15" hidden="false" customHeight="false" outlineLevel="0" collapsed="false">
      <c r="A13" s="9" t="n">
        <v>12</v>
      </c>
      <c r="B13" s="10" t="str">
        <f aca="false">IF(C13="",IF(D13="",I13,"החווה של "&amp;D13),IF(D13="",C13,C13&amp;" - החווה של "&amp;D13))</f>
        <v>בארי</v>
      </c>
      <c r="C13" s="11"/>
      <c r="D13" s="11"/>
      <c r="E13" s="12"/>
      <c r="F13" s="12"/>
      <c r="G13" s="12"/>
      <c r="H13" s="12"/>
      <c r="I13" s="9" t="s">
        <v>102</v>
      </c>
      <c r="J13" s="9" t="n">
        <v>399</v>
      </c>
      <c r="K13" s="9" t="s">
        <v>80</v>
      </c>
      <c r="L13" s="9" t="s">
        <v>99</v>
      </c>
      <c r="M13" s="9" t="s">
        <v>82</v>
      </c>
      <c r="N13" s="9" t="s">
        <v>100</v>
      </c>
      <c r="O13" s="12"/>
      <c r="P13" s="12"/>
      <c r="Q13" s="12"/>
      <c r="R13" s="13" t="n">
        <v>9000</v>
      </c>
      <c r="S13" s="14"/>
      <c r="T13" s="14"/>
      <c r="U13" s="14"/>
      <c r="V13" s="15" t="str">
        <f aca="false">IF(AND(S13="",T13=""),"",IFERROR(N(S13)*מקרא!$B$10+N(T13)*מקרא!$B$11,""))</f>
        <v/>
      </c>
      <c r="W13" s="12"/>
      <c r="X13" s="12"/>
      <c r="Y13" s="12"/>
      <c r="Z13" s="12"/>
      <c r="AA13" s="12"/>
      <c r="AB13" s="9" t="n">
        <v>31.42382</v>
      </c>
      <c r="AC13" s="9" t="n">
        <v>34.49078</v>
      </c>
      <c r="AD13" s="16" t="s">
        <v>84</v>
      </c>
      <c r="AE13" s="16" t="s">
        <v>77</v>
      </c>
      <c r="AF13" s="12" t="s">
        <v>101</v>
      </c>
    </row>
    <row r="14" customFormat="false" ht="15" hidden="false" customHeight="false" outlineLevel="0" collapsed="false">
      <c r="A14" s="9" t="n">
        <v>13</v>
      </c>
      <c r="B14" s="10" t="str">
        <f aca="false">IF(C14="",IF(D14="",I14,"החווה של "&amp;D14),IF(D14="",C14,C14&amp;" - החווה של "&amp;D14))</f>
        <v>גבולות</v>
      </c>
      <c r="C14" s="11"/>
      <c r="D14" s="11"/>
      <c r="E14" s="12"/>
      <c r="F14" s="12"/>
      <c r="G14" s="12"/>
      <c r="H14" s="12"/>
      <c r="I14" s="9" t="s">
        <v>103</v>
      </c>
      <c r="J14" s="9" t="n">
        <v>352</v>
      </c>
      <c r="K14" s="9" t="s">
        <v>80</v>
      </c>
      <c r="L14" s="9" t="s">
        <v>99</v>
      </c>
      <c r="M14" s="9" t="s">
        <v>82</v>
      </c>
      <c r="N14" s="9" t="s">
        <v>100</v>
      </c>
      <c r="O14" s="12"/>
      <c r="P14" s="12"/>
      <c r="Q14" s="12"/>
      <c r="R14" s="13" t="n">
        <v>9000</v>
      </c>
      <c r="S14" s="14"/>
      <c r="T14" s="14"/>
      <c r="U14" s="14"/>
      <c r="V14" s="15" t="str">
        <f aca="false">IF(AND(S14="",T14=""),"",IFERROR(N(S14)*מקרא!$B$10+N(T14)*מקרא!$B$11,""))</f>
        <v/>
      </c>
      <c r="W14" s="12"/>
      <c r="X14" s="12"/>
      <c r="Y14" s="12"/>
      <c r="Z14" s="12"/>
      <c r="AA14" s="12"/>
      <c r="AB14" s="9" t="n">
        <v>31.21083</v>
      </c>
      <c r="AC14" s="9" t="n">
        <v>34.46541</v>
      </c>
      <c r="AD14" s="16" t="s">
        <v>84</v>
      </c>
      <c r="AE14" s="16" t="s">
        <v>77</v>
      </c>
      <c r="AF14" s="12" t="s">
        <v>101</v>
      </c>
    </row>
    <row r="15" customFormat="false" ht="15" hidden="false" customHeight="false" outlineLevel="0" collapsed="false">
      <c r="A15" s="9" t="n">
        <v>14</v>
      </c>
      <c r="B15" s="10" t="str">
        <f aca="false">IF(C15="",IF(D15="",I15,"החווה של "&amp;D15),IF(D15="",C15,C15&amp;" - החווה של "&amp;D15))</f>
        <v>חולית</v>
      </c>
      <c r="C15" s="11"/>
      <c r="D15" s="11"/>
      <c r="E15" s="12"/>
      <c r="F15" s="12"/>
      <c r="G15" s="12"/>
      <c r="H15" s="12"/>
      <c r="I15" s="9" t="s">
        <v>104</v>
      </c>
      <c r="J15" s="9" t="n">
        <v>1239</v>
      </c>
      <c r="K15" s="9" t="s">
        <v>80</v>
      </c>
      <c r="L15" s="9" t="s">
        <v>99</v>
      </c>
      <c r="M15" s="9" t="s">
        <v>82</v>
      </c>
      <c r="N15" s="9" t="s">
        <v>100</v>
      </c>
      <c r="O15" s="12"/>
      <c r="P15" s="12"/>
      <c r="Q15" s="12"/>
      <c r="R15" s="13" t="n">
        <v>9000</v>
      </c>
      <c r="S15" s="14"/>
      <c r="T15" s="14"/>
      <c r="U15" s="14"/>
      <c r="V15" s="15" t="str">
        <f aca="false">IF(AND(S15="",T15=""),"",IFERROR(N(S15)*מקרא!$B$10+N(T15)*מקרא!$B$11,""))</f>
        <v/>
      </c>
      <c r="W15" s="12"/>
      <c r="X15" s="12"/>
      <c r="Y15" s="12"/>
      <c r="Z15" s="12"/>
      <c r="AA15" s="12"/>
      <c r="AB15" s="9" t="n">
        <v>31.23061</v>
      </c>
      <c r="AC15" s="9" t="n">
        <v>34.32567</v>
      </c>
      <c r="AD15" s="16" t="s">
        <v>84</v>
      </c>
      <c r="AE15" s="16" t="s">
        <v>77</v>
      </c>
      <c r="AF15" s="12" t="s">
        <v>101</v>
      </c>
    </row>
    <row r="16" customFormat="false" ht="15" hidden="false" customHeight="false" outlineLevel="0" collapsed="false">
      <c r="A16" s="9" t="n">
        <v>15</v>
      </c>
      <c r="B16" s="10" t="str">
        <f aca="false">IF(C16="",IF(D16="",I16,"החווה של "&amp;D16),IF(D16="",C16,C16&amp;" - החווה של "&amp;D16))</f>
        <v>כיסופים</v>
      </c>
      <c r="C16" s="11"/>
      <c r="D16" s="11"/>
      <c r="E16" s="12"/>
      <c r="F16" s="12"/>
      <c r="G16" s="12"/>
      <c r="H16" s="12"/>
      <c r="I16" s="9" t="s">
        <v>105</v>
      </c>
      <c r="J16" s="9" t="n">
        <v>840</v>
      </c>
      <c r="K16" s="9" t="s">
        <v>80</v>
      </c>
      <c r="L16" s="9" t="s">
        <v>99</v>
      </c>
      <c r="M16" s="9" t="s">
        <v>82</v>
      </c>
      <c r="N16" s="9" t="s">
        <v>100</v>
      </c>
      <c r="O16" s="12"/>
      <c r="P16" s="12"/>
      <c r="Q16" s="12"/>
      <c r="R16" s="13" t="n">
        <v>9000</v>
      </c>
      <c r="S16" s="14"/>
      <c r="T16" s="14"/>
      <c r="U16" s="14"/>
      <c r="V16" s="15" t="str">
        <f aca="false">IF(AND(S16="",T16=""),"",IFERROR(N(S16)*מקרא!$B$10+N(T16)*מקרא!$B$11,""))</f>
        <v/>
      </c>
      <c r="W16" s="12"/>
      <c r="X16" s="12"/>
      <c r="Y16" s="12"/>
      <c r="Z16" s="12"/>
      <c r="AA16" s="12"/>
      <c r="AB16" s="9" t="n">
        <v>31.37521</v>
      </c>
      <c r="AC16" s="9" t="n">
        <v>34.39906</v>
      </c>
      <c r="AD16" s="16" t="s">
        <v>84</v>
      </c>
      <c r="AE16" s="16" t="s">
        <v>77</v>
      </c>
      <c r="AF16" s="12" t="s">
        <v>101</v>
      </c>
    </row>
    <row r="17" customFormat="false" ht="15" hidden="false" customHeight="false" outlineLevel="0" collapsed="false">
      <c r="A17" s="9" t="n">
        <v>16</v>
      </c>
      <c r="B17" s="10" t="str">
        <f aca="false">IF(C17="",IF(D17="",I17,"החווה של "&amp;D17),IF(D17="",C17,C17&amp;" - החווה של "&amp;D17))</f>
        <v>כרם שלום</v>
      </c>
      <c r="C17" s="11"/>
      <c r="D17" s="11"/>
      <c r="E17" s="12"/>
      <c r="F17" s="12"/>
      <c r="G17" s="12"/>
      <c r="H17" s="12"/>
      <c r="I17" s="9" t="s">
        <v>106</v>
      </c>
      <c r="J17" s="9" t="n">
        <v>1085</v>
      </c>
      <c r="K17" s="9" t="s">
        <v>80</v>
      </c>
      <c r="L17" s="9" t="s">
        <v>99</v>
      </c>
      <c r="M17" s="9" t="s">
        <v>82</v>
      </c>
      <c r="N17" s="9" t="s">
        <v>100</v>
      </c>
      <c r="O17" s="12"/>
      <c r="P17" s="12"/>
      <c r="Q17" s="12"/>
      <c r="R17" s="13" t="n">
        <v>9000</v>
      </c>
      <c r="S17" s="14"/>
      <c r="T17" s="14"/>
      <c r="U17" s="14"/>
      <c r="V17" s="15" t="str">
        <f aca="false">IF(AND(S17="",T17=""),"",IFERROR(N(S17)*מקרא!$B$10+N(T17)*מקרא!$B$11,""))</f>
        <v/>
      </c>
      <c r="W17" s="12"/>
      <c r="X17" s="12"/>
      <c r="Y17" s="12"/>
      <c r="Z17" s="12"/>
      <c r="AA17" s="12"/>
      <c r="AB17" s="9" t="n">
        <v>31.2277</v>
      </c>
      <c r="AC17" s="9" t="n">
        <v>34.28424</v>
      </c>
      <c r="AD17" s="16" t="s">
        <v>84</v>
      </c>
      <c r="AE17" s="16" t="s">
        <v>77</v>
      </c>
      <c r="AF17" s="12" t="s">
        <v>101</v>
      </c>
    </row>
    <row r="18" customFormat="false" ht="15" hidden="false" customHeight="false" outlineLevel="0" collapsed="false">
      <c r="A18" s="9" t="n">
        <v>17</v>
      </c>
      <c r="B18" s="10" t="str">
        <f aca="false">IF(C18="",IF(D18="",I18,"החווה של "&amp;D18),IF(D18="",C18,C18&amp;" - החווה של "&amp;D18))</f>
        <v>מגן</v>
      </c>
      <c r="C18" s="11"/>
      <c r="D18" s="11"/>
      <c r="E18" s="12"/>
      <c r="F18" s="12"/>
      <c r="G18" s="12"/>
      <c r="H18" s="12"/>
      <c r="I18" s="9" t="s">
        <v>107</v>
      </c>
      <c r="J18" s="9" t="n">
        <v>695</v>
      </c>
      <c r="K18" s="9" t="s">
        <v>80</v>
      </c>
      <c r="L18" s="9" t="s">
        <v>99</v>
      </c>
      <c r="M18" s="9" t="s">
        <v>82</v>
      </c>
      <c r="N18" s="9" t="s">
        <v>100</v>
      </c>
      <c r="O18" s="12"/>
      <c r="P18" s="12"/>
      <c r="Q18" s="12"/>
      <c r="R18" s="13" t="n">
        <v>9000</v>
      </c>
      <c r="S18" s="14"/>
      <c r="T18" s="14"/>
      <c r="U18" s="14"/>
      <c r="V18" s="15" t="str">
        <f aca="false">IF(AND(S18="",T18=""),"",IFERROR(N(S18)*מקרא!$B$10+N(T18)*מקרא!$B$11,""))</f>
        <v/>
      </c>
      <c r="W18" s="12"/>
      <c r="X18" s="12"/>
      <c r="Y18" s="12"/>
      <c r="Z18" s="12"/>
      <c r="AA18" s="12"/>
      <c r="AB18" s="9" t="n">
        <v>31.29971</v>
      </c>
      <c r="AC18" s="9" t="n">
        <v>34.42691</v>
      </c>
      <c r="AD18" s="16" t="s">
        <v>84</v>
      </c>
      <c r="AE18" s="16" t="s">
        <v>77</v>
      </c>
      <c r="AF18" s="12" t="s">
        <v>101</v>
      </c>
    </row>
    <row r="19" customFormat="false" ht="15" hidden="false" customHeight="false" outlineLevel="0" collapsed="false">
      <c r="A19" s="9" t="n">
        <v>18</v>
      </c>
      <c r="B19" s="10" t="str">
        <f aca="false">IF(C19="",IF(D19="",I19,"החווה של "&amp;D19),IF(D19="",C19,C19&amp;" - החווה של "&amp;D19))</f>
        <v>ניר יצחק</v>
      </c>
      <c r="C19" s="11"/>
      <c r="D19" s="11"/>
      <c r="E19" s="12"/>
      <c r="F19" s="12"/>
      <c r="G19" s="12"/>
      <c r="H19" s="12"/>
      <c r="I19" s="9" t="s">
        <v>108</v>
      </c>
      <c r="J19" s="9" t="n">
        <v>402</v>
      </c>
      <c r="K19" s="9" t="s">
        <v>80</v>
      </c>
      <c r="L19" s="9" t="s">
        <v>99</v>
      </c>
      <c r="M19" s="9" t="s">
        <v>82</v>
      </c>
      <c r="N19" s="9" t="s">
        <v>100</v>
      </c>
      <c r="O19" s="12"/>
      <c r="P19" s="12"/>
      <c r="Q19" s="12"/>
      <c r="R19" s="13" t="n">
        <v>9000</v>
      </c>
      <c r="S19" s="14"/>
      <c r="T19" s="14"/>
      <c r="U19" s="14"/>
      <c r="V19" s="15" t="str">
        <f aca="false">IF(AND(S19="",T19=""),"",IFERROR(N(S19)*מקרא!$B$10+N(T19)*מקרא!$B$11,""))</f>
        <v/>
      </c>
      <c r="W19" s="12"/>
      <c r="X19" s="12"/>
      <c r="Y19" s="12"/>
      <c r="Z19" s="12"/>
      <c r="AA19" s="12"/>
      <c r="AB19" s="9" t="n">
        <v>31.23768</v>
      </c>
      <c r="AC19" s="9" t="n">
        <v>34.35762</v>
      </c>
      <c r="AD19" s="16" t="s">
        <v>84</v>
      </c>
      <c r="AE19" s="16" t="s">
        <v>77</v>
      </c>
      <c r="AF19" s="12" t="s">
        <v>101</v>
      </c>
    </row>
    <row r="20" customFormat="false" ht="15" hidden="false" customHeight="false" outlineLevel="0" collapsed="false">
      <c r="A20" s="9" t="n">
        <v>19</v>
      </c>
      <c r="B20" s="10" t="str">
        <f aca="false">IF(C20="",IF(D20="",I20,"החווה של "&amp;D20),IF(D20="",C20,C20&amp;" - החווה של "&amp;D20))</f>
        <v>ניר עוז</v>
      </c>
      <c r="C20" s="11"/>
      <c r="D20" s="11"/>
      <c r="E20" s="12"/>
      <c r="F20" s="12"/>
      <c r="G20" s="12"/>
      <c r="H20" s="12"/>
      <c r="I20" s="9" t="s">
        <v>109</v>
      </c>
      <c r="J20" s="9" t="n">
        <v>69</v>
      </c>
      <c r="K20" s="9" t="s">
        <v>80</v>
      </c>
      <c r="L20" s="9" t="s">
        <v>99</v>
      </c>
      <c r="M20" s="9" t="s">
        <v>82</v>
      </c>
      <c r="N20" s="9" t="s">
        <v>100</v>
      </c>
      <c r="O20" s="12"/>
      <c r="P20" s="12"/>
      <c r="Q20" s="12"/>
      <c r="R20" s="13" t="n">
        <v>9000</v>
      </c>
      <c r="S20" s="14"/>
      <c r="T20" s="14"/>
      <c r="U20" s="14"/>
      <c r="V20" s="15" t="str">
        <f aca="false">IF(AND(S20="",T20=""),"",IFERROR(N(S20)*מקרא!$B$10+N(T20)*מקרא!$B$11,""))</f>
        <v/>
      </c>
      <c r="W20" s="12"/>
      <c r="X20" s="12"/>
      <c r="Y20" s="12"/>
      <c r="Z20" s="12"/>
      <c r="AA20" s="12"/>
      <c r="AB20" s="9" t="n">
        <v>31.31074</v>
      </c>
      <c r="AC20" s="9" t="n">
        <v>34.40171</v>
      </c>
      <c r="AD20" s="16" t="s">
        <v>84</v>
      </c>
      <c r="AE20" s="16" t="s">
        <v>77</v>
      </c>
      <c r="AF20" s="12" t="s">
        <v>101</v>
      </c>
    </row>
    <row r="21" customFormat="false" ht="15" hidden="false" customHeight="false" outlineLevel="0" collapsed="false">
      <c r="A21" s="9" t="n">
        <v>20</v>
      </c>
      <c r="B21" s="10" t="str">
        <f aca="false">IF(C21="",IF(D21="",I21,"החווה של "&amp;D21),IF(D21="",C21,C21&amp;" - החווה של "&amp;D21))</f>
        <v>נירים</v>
      </c>
      <c r="C21" s="11"/>
      <c r="D21" s="11"/>
      <c r="E21" s="12"/>
      <c r="F21" s="12"/>
      <c r="G21" s="12"/>
      <c r="H21" s="12"/>
      <c r="I21" s="9" t="s">
        <v>110</v>
      </c>
      <c r="J21" s="9" t="n">
        <v>602</v>
      </c>
      <c r="K21" s="9" t="s">
        <v>80</v>
      </c>
      <c r="L21" s="9" t="s">
        <v>99</v>
      </c>
      <c r="M21" s="9" t="s">
        <v>82</v>
      </c>
      <c r="N21" s="9" t="s">
        <v>100</v>
      </c>
      <c r="O21" s="12"/>
      <c r="P21" s="12"/>
      <c r="Q21" s="12"/>
      <c r="R21" s="13" t="n">
        <v>9000</v>
      </c>
      <c r="S21" s="14"/>
      <c r="T21" s="14"/>
      <c r="U21" s="14"/>
      <c r="V21" s="15" t="str">
        <f aca="false">IF(AND(S21="",T21=""),"",IFERROR(N(S21)*מקרא!$B$10+N(T21)*מקרא!$B$11,""))</f>
        <v/>
      </c>
      <c r="W21" s="12"/>
      <c r="X21" s="12"/>
      <c r="Y21" s="12"/>
      <c r="Z21" s="12"/>
      <c r="AA21" s="12"/>
      <c r="AB21" s="9" t="n">
        <v>31.33595</v>
      </c>
      <c r="AC21" s="9" t="n">
        <v>34.39488</v>
      </c>
      <c r="AD21" s="16" t="s">
        <v>84</v>
      </c>
      <c r="AE21" s="16" t="s">
        <v>77</v>
      </c>
      <c r="AF21" s="12" t="s">
        <v>101</v>
      </c>
    </row>
    <row r="22" customFormat="false" ht="15" hidden="false" customHeight="false" outlineLevel="0" collapsed="false">
      <c r="A22" s="9" t="n">
        <v>21</v>
      </c>
      <c r="B22" s="10" t="str">
        <f aca="false">IF(C22="",IF(D22="",I22,"החווה של "&amp;D22),IF(D22="",C22,C22&amp;" - החווה של "&amp;D22))</f>
        <v>סופה</v>
      </c>
      <c r="C22" s="11"/>
      <c r="D22" s="11"/>
      <c r="E22" s="12"/>
      <c r="F22" s="12"/>
      <c r="G22" s="12"/>
      <c r="H22" s="12"/>
      <c r="I22" s="9" t="s">
        <v>111</v>
      </c>
      <c r="J22" s="9" t="n">
        <v>1238</v>
      </c>
      <c r="K22" s="9" t="s">
        <v>80</v>
      </c>
      <c r="L22" s="9" t="s">
        <v>99</v>
      </c>
      <c r="M22" s="9" t="s">
        <v>82</v>
      </c>
      <c r="N22" s="9" t="s">
        <v>100</v>
      </c>
      <c r="O22" s="12"/>
      <c r="P22" s="12"/>
      <c r="Q22" s="12"/>
      <c r="R22" s="13" t="n">
        <v>9000</v>
      </c>
      <c r="S22" s="14"/>
      <c r="T22" s="14"/>
      <c r="U22" s="14"/>
      <c r="V22" s="15" t="str">
        <f aca="false">IF(AND(S22="",T22=""),"",IFERROR(N(S22)*מקרא!$B$10+N(T22)*מקרא!$B$11,""))</f>
        <v/>
      </c>
      <c r="W22" s="12"/>
      <c r="X22" s="12"/>
      <c r="Y22" s="12"/>
      <c r="Z22" s="12"/>
      <c r="AA22" s="12"/>
      <c r="AB22" s="9" t="n">
        <v>31.2373</v>
      </c>
      <c r="AC22" s="9" t="n">
        <v>34.34209</v>
      </c>
      <c r="AD22" s="16" t="s">
        <v>84</v>
      </c>
      <c r="AE22" s="16" t="s">
        <v>77</v>
      </c>
      <c r="AF22" s="12" t="s">
        <v>101</v>
      </c>
    </row>
    <row r="23" customFormat="false" ht="15" hidden="false" customHeight="false" outlineLevel="0" collapsed="false">
      <c r="A23" s="9" t="n">
        <v>22</v>
      </c>
      <c r="B23" s="10" t="str">
        <f aca="false">IF(C23="",IF(D23="",I23,"החווה של "&amp;D23),IF(D23="",C23,C23&amp;" - החווה של "&amp;D23))</f>
        <v>עין השלושה</v>
      </c>
      <c r="C23" s="11"/>
      <c r="D23" s="11"/>
      <c r="E23" s="12"/>
      <c r="F23" s="12"/>
      <c r="G23" s="12"/>
      <c r="H23" s="12"/>
      <c r="I23" s="9" t="s">
        <v>112</v>
      </c>
      <c r="J23" s="9" t="n">
        <v>676</v>
      </c>
      <c r="K23" s="9" t="s">
        <v>80</v>
      </c>
      <c r="L23" s="9" t="s">
        <v>99</v>
      </c>
      <c r="M23" s="9" t="s">
        <v>82</v>
      </c>
      <c r="N23" s="9" t="s">
        <v>100</v>
      </c>
      <c r="O23" s="12"/>
      <c r="P23" s="12"/>
      <c r="Q23" s="12"/>
      <c r="R23" s="13" t="n">
        <v>9000</v>
      </c>
      <c r="S23" s="14"/>
      <c r="T23" s="14"/>
      <c r="U23" s="14"/>
      <c r="V23" s="15" t="str">
        <f aca="false">IF(AND(S23="",T23=""),"",IFERROR(N(S23)*מקרא!$B$10+N(T23)*מקרא!$B$11,""))</f>
        <v/>
      </c>
      <c r="W23" s="12"/>
      <c r="X23" s="12"/>
      <c r="Y23" s="12"/>
      <c r="Z23" s="12"/>
      <c r="AA23" s="12"/>
      <c r="AB23" s="9" t="n">
        <v>31.35141</v>
      </c>
      <c r="AC23" s="9" t="n">
        <v>34.40158</v>
      </c>
      <c r="AD23" s="16" t="s">
        <v>84</v>
      </c>
      <c r="AE23" s="16" t="s">
        <v>77</v>
      </c>
      <c r="AF23" s="12" t="s">
        <v>101</v>
      </c>
    </row>
    <row r="24" customFormat="false" ht="15" hidden="false" customHeight="false" outlineLevel="0" collapsed="false">
      <c r="A24" s="9" t="n">
        <v>23</v>
      </c>
      <c r="B24" s="10" t="str">
        <f aca="false">IF(C24="",IF(D24="",I24,"החווה של "&amp;D24),IF(D24="",C24,C24&amp;" - החווה של "&amp;D24))</f>
        <v>צאלים</v>
      </c>
      <c r="C24" s="11"/>
      <c r="D24" s="11"/>
      <c r="E24" s="12"/>
      <c r="F24" s="12"/>
      <c r="G24" s="12"/>
      <c r="H24" s="12"/>
      <c r="I24" s="9" t="s">
        <v>113</v>
      </c>
      <c r="J24" s="9" t="n">
        <v>413</v>
      </c>
      <c r="K24" s="9" t="s">
        <v>80</v>
      </c>
      <c r="L24" s="9" t="s">
        <v>99</v>
      </c>
      <c r="M24" s="9" t="s">
        <v>82</v>
      </c>
      <c r="N24" s="9" t="s">
        <v>100</v>
      </c>
      <c r="O24" s="12"/>
      <c r="P24" s="12"/>
      <c r="Q24" s="12"/>
      <c r="R24" s="13" t="n">
        <v>9000</v>
      </c>
      <c r="S24" s="14"/>
      <c r="T24" s="14"/>
      <c r="U24" s="14"/>
      <c r="V24" s="15" t="str">
        <f aca="false">IF(AND(S24="",T24=""),"",IFERROR(N(S24)*מקרא!$B$10+N(T24)*מקרא!$B$11,""))</f>
        <v/>
      </c>
      <c r="W24" s="12"/>
      <c r="X24" s="12"/>
      <c r="Y24" s="12"/>
      <c r="Z24" s="12"/>
      <c r="AA24" s="12"/>
      <c r="AB24" s="9" t="n">
        <v>31.20363</v>
      </c>
      <c r="AC24" s="9" t="n">
        <v>34.53409</v>
      </c>
      <c r="AD24" s="16" t="s">
        <v>84</v>
      </c>
      <c r="AE24" s="16" t="s">
        <v>77</v>
      </c>
      <c r="AF24" s="12" t="s">
        <v>101</v>
      </c>
    </row>
    <row r="25" customFormat="false" ht="15" hidden="false" customHeight="false" outlineLevel="0" collapsed="false">
      <c r="A25" s="9" t="n">
        <v>24</v>
      </c>
      <c r="B25" s="10" t="str">
        <f aca="false">IF(C25="",IF(D25="",I25,"החווה של "&amp;D25),IF(D25="",C25,C25&amp;" - החווה של "&amp;D25))</f>
        <v>רעים</v>
      </c>
      <c r="C25" s="11"/>
      <c r="D25" s="11"/>
      <c r="E25" s="12"/>
      <c r="F25" s="12"/>
      <c r="G25" s="12"/>
      <c r="H25" s="12"/>
      <c r="I25" s="9" t="s">
        <v>114</v>
      </c>
      <c r="J25" s="9" t="n">
        <v>713</v>
      </c>
      <c r="K25" s="9" t="s">
        <v>80</v>
      </c>
      <c r="L25" s="9" t="s">
        <v>99</v>
      </c>
      <c r="M25" s="9" t="s">
        <v>82</v>
      </c>
      <c r="N25" s="9" t="s">
        <v>100</v>
      </c>
      <c r="O25" s="12"/>
      <c r="P25" s="12"/>
      <c r="Q25" s="12"/>
      <c r="R25" s="13" t="n">
        <v>9000</v>
      </c>
      <c r="S25" s="14"/>
      <c r="T25" s="14"/>
      <c r="U25" s="14"/>
      <c r="V25" s="15" t="str">
        <f aca="false">IF(AND(S25="",T25=""),"",IFERROR(N(S25)*מקרא!$B$10+N(T25)*מקרא!$B$11,""))</f>
        <v/>
      </c>
      <c r="W25" s="12"/>
      <c r="X25" s="12"/>
      <c r="Y25" s="12"/>
      <c r="Z25" s="12"/>
      <c r="AA25" s="12"/>
      <c r="AB25" s="9" t="n">
        <v>31.38549</v>
      </c>
      <c r="AC25" s="9" t="n">
        <v>34.45932</v>
      </c>
      <c r="AD25" s="16" t="s">
        <v>84</v>
      </c>
      <c r="AE25" s="16" t="s">
        <v>77</v>
      </c>
      <c r="AF25" s="12" t="s">
        <v>101</v>
      </c>
    </row>
    <row r="26" customFormat="false" ht="15" hidden="false" customHeight="false" outlineLevel="0" collapsed="false">
      <c r="A26" s="9" t="n">
        <v>25</v>
      </c>
      <c r="B26" s="10" t="str">
        <f aca="false">IF(C26="",IF(D26="",I26,"החווה של "&amp;D26),IF(D26="",C26,C26&amp;" - החווה של "&amp;D26))</f>
        <v>אוהד</v>
      </c>
      <c r="C26" s="11"/>
      <c r="D26" s="11"/>
      <c r="E26" s="12"/>
      <c r="F26" s="12"/>
      <c r="G26" s="12"/>
      <c r="H26" s="12"/>
      <c r="I26" s="9" t="s">
        <v>115</v>
      </c>
      <c r="J26" s="9" t="n">
        <v>1046</v>
      </c>
      <c r="K26" s="9" t="s">
        <v>90</v>
      </c>
      <c r="L26" s="9" t="s">
        <v>99</v>
      </c>
      <c r="M26" s="9" t="s">
        <v>82</v>
      </c>
      <c r="N26" s="9" t="s">
        <v>100</v>
      </c>
      <c r="O26" s="12"/>
      <c r="P26" s="12"/>
      <c r="Q26" s="12"/>
      <c r="R26" s="13" t="n">
        <v>3250</v>
      </c>
      <c r="S26" s="14"/>
      <c r="T26" s="14"/>
      <c r="U26" s="14"/>
      <c r="V26" s="15" t="str">
        <f aca="false">IF(AND(S26="",T26=""),"",IFERROR(N(S26)*מקרא!$B$10+N(T26)*מקרא!$B$11,""))</f>
        <v/>
      </c>
      <c r="W26" s="12"/>
      <c r="X26" s="12"/>
      <c r="Y26" s="12"/>
      <c r="Z26" s="12"/>
      <c r="AA26" s="12"/>
      <c r="AB26" s="9" t="n">
        <v>31.23715</v>
      </c>
      <c r="AC26" s="9" t="n">
        <v>34.4313</v>
      </c>
      <c r="AD26" s="16" t="s">
        <v>84</v>
      </c>
      <c r="AE26" s="16" t="s">
        <v>77</v>
      </c>
      <c r="AF26" s="12" t="s">
        <v>101</v>
      </c>
    </row>
    <row r="27" customFormat="false" ht="15" hidden="false" customHeight="false" outlineLevel="0" collapsed="false">
      <c r="A27" s="9" t="n">
        <v>26</v>
      </c>
      <c r="B27" s="10" t="str">
        <f aca="false">IF(C27="",IF(D27="",I27,"החווה של "&amp;D27),IF(D27="",C27,C27&amp;" - החווה של "&amp;D27))</f>
        <v>דקל</v>
      </c>
      <c r="C27" s="11"/>
      <c r="D27" s="11"/>
      <c r="E27" s="12"/>
      <c r="F27" s="12"/>
      <c r="G27" s="12"/>
      <c r="H27" s="12"/>
      <c r="I27" s="9" t="s">
        <v>116</v>
      </c>
      <c r="J27" s="9" t="n">
        <v>1241</v>
      </c>
      <c r="K27" s="9" t="s">
        <v>90</v>
      </c>
      <c r="L27" s="9" t="s">
        <v>99</v>
      </c>
      <c r="M27" s="9" t="s">
        <v>82</v>
      </c>
      <c r="N27" s="9" t="s">
        <v>100</v>
      </c>
      <c r="O27" s="12"/>
      <c r="P27" s="12"/>
      <c r="Q27" s="12"/>
      <c r="R27" s="13" t="n">
        <v>3250</v>
      </c>
      <c r="S27" s="14"/>
      <c r="T27" s="14"/>
      <c r="U27" s="14"/>
      <c r="V27" s="15" t="str">
        <f aca="false">IF(AND(S27="",T27=""),"",IFERROR(N(S27)*מקרא!$B$10+N(T27)*מקרא!$B$11,""))</f>
        <v/>
      </c>
      <c r="W27" s="12"/>
      <c r="X27" s="12"/>
      <c r="Y27" s="12"/>
      <c r="Z27" s="12"/>
      <c r="AA27" s="12"/>
      <c r="AB27" s="9" t="n">
        <v>31.19522</v>
      </c>
      <c r="AC27" s="9" t="n">
        <v>34.34698</v>
      </c>
      <c r="AD27" s="16" t="s">
        <v>84</v>
      </c>
      <c r="AE27" s="16" t="s">
        <v>77</v>
      </c>
      <c r="AF27" s="12" t="s">
        <v>101</v>
      </c>
    </row>
    <row r="28" customFormat="false" ht="15" hidden="false" customHeight="false" outlineLevel="0" collapsed="false">
      <c r="A28" s="9" t="n">
        <v>27</v>
      </c>
      <c r="B28" s="10" t="str">
        <f aca="false">IF(C28="",IF(D28="",I28,"החווה של "&amp;D28),IF(D28="",C28,C28&amp;" - החווה של "&amp;D28))</f>
        <v>יבול</v>
      </c>
      <c r="C28" s="11"/>
      <c r="D28" s="11"/>
      <c r="E28" s="12"/>
      <c r="F28" s="12"/>
      <c r="G28" s="12"/>
      <c r="H28" s="12"/>
      <c r="I28" s="9" t="s">
        <v>117</v>
      </c>
      <c r="J28" s="9" t="n">
        <v>1232</v>
      </c>
      <c r="K28" s="9" t="s">
        <v>90</v>
      </c>
      <c r="L28" s="9" t="s">
        <v>99</v>
      </c>
      <c r="M28" s="9" t="s">
        <v>82</v>
      </c>
      <c r="N28" s="9" t="s">
        <v>100</v>
      </c>
      <c r="O28" s="12"/>
      <c r="P28" s="12"/>
      <c r="Q28" s="12"/>
      <c r="R28" s="13" t="n">
        <v>3250</v>
      </c>
      <c r="S28" s="14"/>
      <c r="T28" s="14"/>
      <c r="U28" s="14"/>
      <c r="V28" s="15" t="str">
        <f aca="false">IF(AND(S28="",T28=""),"",IFERROR(N(S28)*מקרא!$B$10+N(T28)*מקרא!$B$11,""))</f>
        <v/>
      </c>
      <c r="W28" s="12"/>
      <c r="X28" s="12"/>
      <c r="Y28" s="12"/>
      <c r="Z28" s="12"/>
      <c r="AA28" s="12"/>
      <c r="AB28" s="9" t="n">
        <v>31.18925</v>
      </c>
      <c r="AC28" s="9" t="n">
        <v>34.31808</v>
      </c>
      <c r="AD28" s="16" t="s">
        <v>84</v>
      </c>
      <c r="AE28" s="16" t="s">
        <v>77</v>
      </c>
      <c r="AF28" s="12" t="s">
        <v>101</v>
      </c>
    </row>
    <row r="29" customFormat="false" ht="15" hidden="false" customHeight="false" outlineLevel="0" collapsed="false">
      <c r="A29" s="9" t="n">
        <v>28</v>
      </c>
      <c r="B29" s="10" t="str">
        <f aca="false">IF(C29="",IF(D29="",I29,"החווה של "&amp;D29),IF(D29="",C29,C29&amp;" - החווה של "&amp;D29))</f>
        <v>ישע</v>
      </c>
      <c r="C29" s="11"/>
      <c r="D29" s="11"/>
      <c r="E29" s="12"/>
      <c r="F29" s="12"/>
      <c r="G29" s="12"/>
      <c r="H29" s="12"/>
      <c r="I29" s="9" t="s">
        <v>118</v>
      </c>
      <c r="J29" s="9" t="n">
        <v>916</v>
      </c>
      <c r="K29" s="9" t="s">
        <v>90</v>
      </c>
      <c r="L29" s="9" t="s">
        <v>99</v>
      </c>
      <c r="M29" s="9" t="s">
        <v>82</v>
      </c>
      <c r="N29" s="9" t="s">
        <v>100</v>
      </c>
      <c r="O29" s="12"/>
      <c r="P29" s="12"/>
      <c r="Q29" s="12"/>
      <c r="R29" s="13" t="n">
        <v>3250</v>
      </c>
      <c r="S29" s="14"/>
      <c r="T29" s="14"/>
      <c r="U29" s="14"/>
      <c r="V29" s="15" t="str">
        <f aca="false">IF(AND(S29="",T29=""),"",IFERROR(N(S29)*מקרא!$B$10+N(T29)*מקרא!$B$11,""))</f>
        <v/>
      </c>
      <c r="W29" s="12"/>
      <c r="X29" s="12"/>
      <c r="Y29" s="12"/>
      <c r="Z29" s="12"/>
      <c r="AA29" s="12"/>
      <c r="AB29" s="9" t="n">
        <v>31.24752</v>
      </c>
      <c r="AC29" s="9" t="n">
        <v>34.40246</v>
      </c>
      <c r="AD29" s="16" t="s">
        <v>84</v>
      </c>
      <c r="AE29" s="16" t="s">
        <v>77</v>
      </c>
      <c r="AF29" s="12" t="s">
        <v>101</v>
      </c>
    </row>
    <row r="30" customFormat="false" ht="15" hidden="false" customHeight="false" outlineLevel="0" collapsed="false">
      <c r="A30" s="9" t="n">
        <v>29</v>
      </c>
      <c r="B30" s="10" t="str">
        <f aca="false">IF(C30="",IF(D30="",I30,"החווה של "&amp;D30),IF(D30="",C30,C30&amp;" - החווה של "&amp;D30))</f>
        <v>יתד</v>
      </c>
      <c r="C30" s="11"/>
      <c r="D30" s="11"/>
      <c r="E30" s="12"/>
      <c r="F30" s="12"/>
      <c r="G30" s="12"/>
      <c r="H30" s="12"/>
      <c r="I30" s="9" t="s">
        <v>119</v>
      </c>
      <c r="J30" s="9" t="n">
        <v>1227</v>
      </c>
      <c r="K30" s="9" t="s">
        <v>90</v>
      </c>
      <c r="L30" s="9" t="s">
        <v>99</v>
      </c>
      <c r="M30" s="9" t="s">
        <v>82</v>
      </c>
      <c r="N30" s="9" t="s">
        <v>100</v>
      </c>
      <c r="O30" s="12"/>
      <c r="P30" s="12"/>
      <c r="Q30" s="12"/>
      <c r="R30" s="13" t="n">
        <v>3250</v>
      </c>
      <c r="S30" s="14"/>
      <c r="T30" s="14"/>
      <c r="U30" s="14"/>
      <c r="V30" s="15" t="str">
        <f aca="false">IF(AND(S30="",T30=""),"",IFERROR(N(S30)*מקרא!$B$10+N(T30)*מקרא!$B$11,""))</f>
        <v/>
      </c>
      <c r="W30" s="12"/>
      <c r="X30" s="12"/>
      <c r="Y30" s="12"/>
      <c r="Z30" s="12"/>
      <c r="AA30" s="12"/>
      <c r="AB30" s="9" t="n">
        <v>31.20618</v>
      </c>
      <c r="AC30" s="9" t="n">
        <v>34.32694</v>
      </c>
      <c r="AD30" s="16" t="s">
        <v>84</v>
      </c>
      <c r="AE30" s="16" t="s">
        <v>77</v>
      </c>
      <c r="AF30" s="12" t="s">
        <v>101</v>
      </c>
    </row>
    <row r="31" customFormat="false" ht="15" hidden="false" customHeight="false" outlineLevel="0" collapsed="false">
      <c r="A31" s="9" t="n">
        <v>30</v>
      </c>
      <c r="B31" s="10" t="str">
        <f aca="false">IF(C31="",IF(D31="",I31,"החווה של "&amp;D31),IF(D31="",C31,C31&amp;" - החווה של "&amp;D31))</f>
        <v>מבטחים</v>
      </c>
      <c r="C31" s="11"/>
      <c r="D31" s="11"/>
      <c r="E31" s="12"/>
      <c r="F31" s="12"/>
      <c r="G31" s="12"/>
      <c r="H31" s="12"/>
      <c r="I31" s="9" t="s">
        <v>120</v>
      </c>
      <c r="J31" s="9" t="n">
        <v>829</v>
      </c>
      <c r="K31" s="9" t="s">
        <v>90</v>
      </c>
      <c r="L31" s="9" t="s">
        <v>99</v>
      </c>
      <c r="M31" s="9" t="s">
        <v>82</v>
      </c>
      <c r="N31" s="9" t="s">
        <v>100</v>
      </c>
      <c r="O31" s="12"/>
      <c r="P31" s="12"/>
      <c r="Q31" s="12"/>
      <c r="R31" s="13" t="n">
        <v>3250</v>
      </c>
      <c r="S31" s="14"/>
      <c r="T31" s="14"/>
      <c r="U31" s="14"/>
      <c r="V31" s="15" t="str">
        <f aca="false">IF(AND(S31="",T31=""),"",IFERROR(N(S31)*מקרא!$B$10+N(T31)*מקרא!$B$11,""))</f>
        <v/>
      </c>
      <c r="W31" s="12"/>
      <c r="X31" s="12"/>
      <c r="Y31" s="12"/>
      <c r="Z31" s="12"/>
      <c r="AA31" s="12"/>
      <c r="AB31" s="9" t="n">
        <v>31.24034</v>
      </c>
      <c r="AC31" s="9" t="n">
        <v>34.40787</v>
      </c>
      <c r="AD31" s="16" t="s">
        <v>84</v>
      </c>
      <c r="AE31" s="16" t="s">
        <v>77</v>
      </c>
      <c r="AF31" s="12" t="s">
        <v>101</v>
      </c>
    </row>
    <row r="32" customFormat="false" ht="15" hidden="false" customHeight="false" outlineLevel="0" collapsed="false">
      <c r="A32" s="9" t="n">
        <v>31</v>
      </c>
      <c r="B32" s="10" t="str">
        <f aca="false">IF(C32="",IF(D32="",I32,"החווה של "&amp;D32),IF(D32="",C32,C32&amp;" - החווה של "&amp;D32))</f>
        <v>עין הבשור</v>
      </c>
      <c r="C32" s="11"/>
      <c r="D32" s="11"/>
      <c r="E32" s="12"/>
      <c r="F32" s="12"/>
      <c r="G32" s="12"/>
      <c r="H32" s="12"/>
      <c r="I32" s="9" t="s">
        <v>121</v>
      </c>
      <c r="J32" s="9" t="n">
        <v>1240</v>
      </c>
      <c r="K32" s="9" t="s">
        <v>90</v>
      </c>
      <c r="L32" s="9" t="s">
        <v>99</v>
      </c>
      <c r="M32" s="9" t="s">
        <v>82</v>
      </c>
      <c r="N32" s="9" t="s">
        <v>100</v>
      </c>
      <c r="O32" s="12"/>
      <c r="P32" s="12"/>
      <c r="Q32" s="12"/>
      <c r="R32" s="13" t="n">
        <v>3250</v>
      </c>
      <c r="S32" s="14"/>
      <c r="T32" s="14"/>
      <c r="U32" s="14"/>
      <c r="V32" s="15" t="str">
        <f aca="false">IF(AND(S32="",T32=""),"",IFERROR(N(S32)*מקרא!$B$10+N(T32)*מקרא!$B$11,""))</f>
        <v/>
      </c>
      <c r="W32" s="12"/>
      <c r="X32" s="12"/>
      <c r="Y32" s="12"/>
      <c r="Z32" s="12"/>
      <c r="AA32" s="12"/>
      <c r="AB32" s="9" t="n">
        <v>31.28141</v>
      </c>
      <c r="AC32" s="9" t="n">
        <v>34.44239</v>
      </c>
      <c r="AD32" s="16" t="s">
        <v>84</v>
      </c>
      <c r="AE32" s="16" t="s">
        <v>77</v>
      </c>
      <c r="AF32" s="12" t="s">
        <v>101</v>
      </c>
    </row>
    <row r="33" customFormat="false" ht="15" hidden="false" customHeight="false" outlineLevel="0" collapsed="false">
      <c r="A33" s="9" t="n">
        <v>32</v>
      </c>
      <c r="B33" s="10" t="str">
        <f aca="false">IF(C33="",IF(D33="",I33,"החווה של "&amp;D33),IF(D33="",C33,C33&amp;" - החווה של "&amp;D33))</f>
        <v>עמיעז</v>
      </c>
      <c r="C33" s="11"/>
      <c r="D33" s="11"/>
      <c r="E33" s="12"/>
      <c r="F33" s="12"/>
      <c r="G33" s="12"/>
      <c r="H33" s="12"/>
      <c r="I33" s="9" t="s">
        <v>122</v>
      </c>
      <c r="J33" s="9" t="n">
        <v>318</v>
      </c>
      <c r="K33" s="9" t="s">
        <v>90</v>
      </c>
      <c r="L33" s="9" t="s">
        <v>99</v>
      </c>
      <c r="M33" s="9" t="s">
        <v>82</v>
      </c>
      <c r="N33" s="9" t="s">
        <v>100</v>
      </c>
      <c r="O33" s="12"/>
      <c r="P33" s="12"/>
      <c r="Q33" s="12"/>
      <c r="R33" s="13" t="n">
        <v>3250</v>
      </c>
      <c r="S33" s="14"/>
      <c r="T33" s="14"/>
      <c r="U33" s="14"/>
      <c r="V33" s="15" t="str">
        <f aca="false">IF(AND(S33="",T33=""),"",IFERROR(N(S33)*מקרא!$B$10+N(T33)*מקרא!$B$11,""))</f>
        <v/>
      </c>
      <c r="W33" s="12"/>
      <c r="X33" s="12"/>
      <c r="Y33" s="12"/>
      <c r="Z33" s="12"/>
      <c r="AA33" s="12"/>
      <c r="AB33" s="9" t="n">
        <v>31.2484</v>
      </c>
      <c r="AC33" s="9" t="n">
        <v>34.41295</v>
      </c>
      <c r="AD33" s="16" t="s">
        <v>84</v>
      </c>
      <c r="AE33" s="16" t="s">
        <v>77</v>
      </c>
      <c r="AF33" s="12" t="s">
        <v>101</v>
      </c>
    </row>
    <row r="34" customFormat="false" ht="15" hidden="false" customHeight="false" outlineLevel="0" collapsed="false">
      <c r="A34" s="9" t="n">
        <v>33</v>
      </c>
      <c r="B34" s="10" t="str">
        <f aca="false">IF(C34="",IF(D34="",I34,"החווה של "&amp;D34),IF(D34="",C34,C34&amp;" - החווה של "&amp;D34))</f>
        <v>פריגן</v>
      </c>
      <c r="C34" s="11"/>
      <c r="D34" s="11"/>
      <c r="E34" s="12"/>
      <c r="F34" s="12"/>
      <c r="G34" s="12"/>
      <c r="H34" s="12"/>
      <c r="I34" s="9" t="s">
        <v>123</v>
      </c>
      <c r="J34" s="9" t="n">
        <v>1231</v>
      </c>
      <c r="K34" s="9" t="s">
        <v>90</v>
      </c>
      <c r="L34" s="9" t="s">
        <v>99</v>
      </c>
      <c r="M34" s="9" t="s">
        <v>82</v>
      </c>
      <c r="N34" s="9" t="s">
        <v>100</v>
      </c>
      <c r="O34" s="12"/>
      <c r="P34" s="12"/>
      <c r="Q34" s="12"/>
      <c r="R34" s="13" t="n">
        <v>3250</v>
      </c>
      <c r="S34" s="14"/>
      <c r="T34" s="14"/>
      <c r="U34" s="14"/>
      <c r="V34" s="15" t="str">
        <f aca="false">IF(AND(S34="",T34=""),"",IFERROR(N(S34)*מקרא!$B$10+N(T34)*מקרא!$B$11,""))</f>
        <v/>
      </c>
      <c r="W34" s="12"/>
      <c r="X34" s="12"/>
      <c r="Y34" s="12"/>
      <c r="Z34" s="12"/>
      <c r="AA34" s="12"/>
      <c r="AB34" s="9" t="n">
        <v>31.22161</v>
      </c>
      <c r="AC34" s="9" t="n">
        <v>34.35535</v>
      </c>
      <c r="AD34" s="16" t="s">
        <v>84</v>
      </c>
      <c r="AE34" s="16" t="s">
        <v>77</v>
      </c>
      <c r="AF34" s="12" t="s">
        <v>101</v>
      </c>
    </row>
    <row r="35" customFormat="false" ht="15" hidden="false" customHeight="false" outlineLevel="0" collapsed="false">
      <c r="A35" s="9" t="n">
        <v>34</v>
      </c>
      <c r="B35" s="10" t="str">
        <f aca="false">IF(C35="",IF(D35="",I35,"החווה של "&amp;D35),IF(D35="",C35,C35&amp;" - החווה של "&amp;D35))</f>
        <v>שדה ניצן</v>
      </c>
      <c r="C35" s="11"/>
      <c r="D35" s="11"/>
      <c r="E35" s="12"/>
      <c r="F35" s="12"/>
      <c r="G35" s="12"/>
      <c r="H35" s="12"/>
      <c r="I35" s="9" t="s">
        <v>124</v>
      </c>
      <c r="J35" s="9" t="n">
        <v>1058</v>
      </c>
      <c r="K35" s="9" t="s">
        <v>90</v>
      </c>
      <c r="L35" s="9" t="s">
        <v>99</v>
      </c>
      <c r="M35" s="9" t="s">
        <v>82</v>
      </c>
      <c r="N35" s="9" t="s">
        <v>100</v>
      </c>
      <c r="O35" s="12"/>
      <c r="P35" s="12"/>
      <c r="Q35" s="12"/>
      <c r="R35" s="13" t="n">
        <v>3250</v>
      </c>
      <c r="S35" s="14"/>
      <c r="T35" s="14"/>
      <c r="U35" s="14"/>
      <c r="V35" s="15" t="str">
        <f aca="false">IF(AND(S35="",T35=""),"",IFERROR(N(S35)*מקרא!$B$10+N(T35)*מקרא!$B$11,""))</f>
        <v/>
      </c>
      <c r="W35" s="12"/>
      <c r="X35" s="12"/>
      <c r="Y35" s="12"/>
      <c r="Z35" s="12"/>
      <c r="AA35" s="12"/>
      <c r="AB35" s="9" t="n">
        <v>31.23013</v>
      </c>
      <c r="AC35" s="9" t="n">
        <v>34.41929</v>
      </c>
      <c r="AD35" s="16" t="s">
        <v>84</v>
      </c>
      <c r="AE35" s="16" t="s">
        <v>77</v>
      </c>
      <c r="AF35" s="12" t="s">
        <v>101</v>
      </c>
    </row>
    <row r="36" customFormat="false" ht="15" hidden="false" customHeight="false" outlineLevel="0" collapsed="false">
      <c r="A36" s="9" t="n">
        <v>35</v>
      </c>
      <c r="B36" s="10" t="str">
        <f aca="false">IF(C36="",IF(D36="",I36,"החווה של "&amp;D36),IF(D36="",C36,C36&amp;" - החווה של "&amp;D36))</f>
        <v>שדה אברהם</v>
      </c>
      <c r="C36" s="11"/>
      <c r="D36" s="11"/>
      <c r="E36" s="12"/>
      <c r="F36" s="12"/>
      <c r="G36" s="12"/>
      <c r="H36" s="12"/>
      <c r="I36" s="9" t="s">
        <v>125</v>
      </c>
      <c r="J36" s="9" t="n">
        <v>1223</v>
      </c>
      <c r="K36" s="9" t="s">
        <v>90</v>
      </c>
      <c r="L36" s="9" t="s">
        <v>99</v>
      </c>
      <c r="M36" s="9" t="s">
        <v>82</v>
      </c>
      <c r="N36" s="9" t="s">
        <v>100</v>
      </c>
      <c r="O36" s="12"/>
      <c r="P36" s="12"/>
      <c r="Q36" s="12"/>
      <c r="R36" s="13" t="n">
        <v>3250</v>
      </c>
      <c r="S36" s="14"/>
      <c r="T36" s="14"/>
      <c r="U36" s="14"/>
      <c r="V36" s="15" t="str">
        <f aca="false">IF(AND(S36="",T36=""),"",IFERROR(N(S36)*מקרא!$B$10+N(T36)*מקרא!$B$11,""))</f>
        <v/>
      </c>
      <c r="W36" s="12"/>
      <c r="X36" s="12"/>
      <c r="Y36" s="12"/>
      <c r="Z36" s="12"/>
      <c r="AA36" s="12"/>
      <c r="AB36" s="9" t="n">
        <v>31.21174</v>
      </c>
      <c r="AC36" s="9" t="n">
        <v>34.33613</v>
      </c>
      <c r="AD36" s="16" t="s">
        <v>84</v>
      </c>
      <c r="AE36" s="16" t="s">
        <v>77</v>
      </c>
      <c r="AF36" s="12" t="s">
        <v>101</v>
      </c>
    </row>
    <row r="37" customFormat="false" ht="15" hidden="false" customHeight="false" outlineLevel="0" collapsed="false">
      <c r="A37" s="9" t="n">
        <v>36</v>
      </c>
      <c r="B37" s="10" t="str">
        <f aca="false">IF(C37="",IF(D37="",I37,"החווה של "&amp;D37),IF(D37="",C37,C37&amp;" - החווה של "&amp;D37))</f>
        <v>תלמי אליהו</v>
      </c>
      <c r="C37" s="11"/>
      <c r="D37" s="11"/>
      <c r="E37" s="12"/>
      <c r="F37" s="12"/>
      <c r="G37" s="12"/>
      <c r="H37" s="12"/>
      <c r="I37" s="9" t="s">
        <v>126</v>
      </c>
      <c r="J37" s="9" t="n">
        <v>1051</v>
      </c>
      <c r="K37" s="9" t="s">
        <v>90</v>
      </c>
      <c r="L37" s="9" t="s">
        <v>99</v>
      </c>
      <c r="M37" s="9" t="s">
        <v>82</v>
      </c>
      <c r="N37" s="9" t="s">
        <v>100</v>
      </c>
      <c r="O37" s="12"/>
      <c r="P37" s="12"/>
      <c r="Q37" s="12"/>
      <c r="R37" s="13" t="n">
        <v>3250</v>
      </c>
      <c r="S37" s="14"/>
      <c r="T37" s="14"/>
      <c r="U37" s="14"/>
      <c r="V37" s="15" t="str">
        <f aca="false">IF(AND(S37="",T37=""),"",IFERROR(N(S37)*מקרא!$B$10+N(T37)*מקרא!$B$11,""))</f>
        <v/>
      </c>
      <c r="W37" s="12"/>
      <c r="X37" s="12"/>
      <c r="Y37" s="12"/>
      <c r="Z37" s="12"/>
      <c r="AA37" s="12"/>
      <c r="AB37" s="9" t="n">
        <v>31.22893</v>
      </c>
      <c r="AC37" s="9" t="n">
        <v>34.42896</v>
      </c>
      <c r="AD37" s="16" t="s">
        <v>84</v>
      </c>
      <c r="AE37" s="16" t="s">
        <v>77</v>
      </c>
      <c r="AF37" s="12" t="s">
        <v>101</v>
      </c>
    </row>
    <row r="38" customFormat="false" ht="15" hidden="false" customHeight="false" outlineLevel="0" collapsed="false">
      <c r="A38" s="9" t="n">
        <v>37</v>
      </c>
      <c r="B38" s="10" t="str">
        <f aca="false">IF(C38="",IF(D38="",I38,"החווה של "&amp;D38),IF(D38="",C38,C38&amp;" - החווה של "&amp;D38))</f>
        <v>תלמי יוסף</v>
      </c>
      <c r="C38" s="11"/>
      <c r="D38" s="11"/>
      <c r="E38" s="12"/>
      <c r="F38" s="12"/>
      <c r="G38" s="12"/>
      <c r="H38" s="12"/>
      <c r="I38" s="9" t="s">
        <v>127</v>
      </c>
      <c r="J38" s="9" t="n">
        <v>1237</v>
      </c>
      <c r="K38" s="9" t="s">
        <v>90</v>
      </c>
      <c r="L38" s="9" t="s">
        <v>99</v>
      </c>
      <c r="M38" s="9" t="s">
        <v>82</v>
      </c>
      <c r="N38" s="9" t="s">
        <v>100</v>
      </c>
      <c r="O38" s="12"/>
      <c r="P38" s="12"/>
      <c r="Q38" s="12"/>
      <c r="R38" s="13" t="n">
        <v>3250</v>
      </c>
      <c r="S38" s="14"/>
      <c r="T38" s="14"/>
      <c r="U38" s="14"/>
      <c r="V38" s="15" t="str">
        <f aca="false">IF(AND(S38="",T38=""),"",IFERROR(N(S38)*מקרא!$B$10+N(T38)*מקרא!$B$11,""))</f>
        <v/>
      </c>
      <c r="W38" s="12"/>
      <c r="X38" s="12"/>
      <c r="Y38" s="12"/>
      <c r="Z38" s="12"/>
      <c r="AA38" s="12"/>
      <c r="AB38" s="9" t="n">
        <v>31.20136</v>
      </c>
      <c r="AC38" s="9" t="n">
        <v>34.36203</v>
      </c>
      <c r="AD38" s="16" t="s">
        <v>84</v>
      </c>
      <c r="AE38" s="16" t="s">
        <v>77</v>
      </c>
      <c r="AF38" s="12" t="s">
        <v>101</v>
      </c>
    </row>
    <row r="39" customFormat="false" ht="15" hidden="false" customHeight="false" outlineLevel="0" collapsed="false">
      <c r="A39" s="9" t="n">
        <v>38</v>
      </c>
      <c r="B39" s="10" t="str">
        <f aca="false">IF(C39="",IF(D39="",I39,"החווה של "&amp;D39),IF(D39="",C39,C39&amp;" - החווה של "&amp;D39))</f>
        <v>נווה</v>
      </c>
      <c r="C39" s="11"/>
      <c r="D39" s="11"/>
      <c r="E39" s="12"/>
      <c r="F39" s="12"/>
      <c r="G39" s="12"/>
      <c r="H39" s="12"/>
      <c r="I39" s="9" t="s">
        <v>128</v>
      </c>
      <c r="J39" s="9" t="n">
        <v>1366</v>
      </c>
      <c r="K39" s="9" t="s">
        <v>90</v>
      </c>
      <c r="L39" s="9" t="s">
        <v>99</v>
      </c>
      <c r="M39" s="9" t="s">
        <v>82</v>
      </c>
      <c r="N39" s="9" t="s">
        <v>100</v>
      </c>
      <c r="O39" s="12"/>
      <c r="P39" s="12"/>
      <c r="Q39" s="12"/>
      <c r="R39" s="13" t="n">
        <v>3250</v>
      </c>
      <c r="S39" s="14"/>
      <c r="T39" s="14"/>
      <c r="U39" s="14"/>
      <c r="V39" s="15" t="str">
        <f aca="false">IF(AND(S39="",T39=""),"",IFERROR(N(S39)*מקרא!$B$10+N(T39)*מקרא!$B$11,""))</f>
        <v/>
      </c>
      <c r="W39" s="12"/>
      <c r="X39" s="12"/>
      <c r="Y39" s="12"/>
      <c r="Z39" s="12"/>
      <c r="AA39" s="12"/>
      <c r="AB39" s="9" t="n">
        <v>31.16239</v>
      </c>
      <c r="AC39" s="9" t="n">
        <v>34.33385</v>
      </c>
      <c r="AD39" s="16" t="s">
        <v>84</v>
      </c>
      <c r="AE39" s="16" t="s">
        <v>77</v>
      </c>
      <c r="AF39" s="12" t="s">
        <v>101</v>
      </c>
    </row>
    <row r="40" customFormat="false" ht="15" hidden="false" customHeight="false" outlineLevel="0" collapsed="false">
      <c r="A40" s="9" t="n">
        <v>39</v>
      </c>
      <c r="B40" s="10" t="str">
        <f aca="false">IF(C40="",IF(D40="",I40,"החווה של "&amp;D40),IF(D40="",C40,C40&amp;" - החווה של "&amp;D40))</f>
        <v>בני נצרים</v>
      </c>
      <c r="C40" s="11"/>
      <c r="D40" s="11"/>
      <c r="E40" s="12"/>
      <c r="F40" s="12"/>
      <c r="G40" s="12"/>
      <c r="H40" s="12"/>
      <c r="I40" s="9" t="s">
        <v>129</v>
      </c>
      <c r="J40" s="9" t="n">
        <v>1363</v>
      </c>
      <c r="K40" s="9" t="s">
        <v>90</v>
      </c>
      <c r="L40" s="9" t="s">
        <v>99</v>
      </c>
      <c r="M40" s="9" t="s">
        <v>82</v>
      </c>
      <c r="N40" s="9" t="s">
        <v>100</v>
      </c>
      <c r="O40" s="12"/>
      <c r="P40" s="12"/>
      <c r="Q40" s="12"/>
      <c r="R40" s="13" t="n">
        <v>3250</v>
      </c>
      <c r="S40" s="14"/>
      <c r="T40" s="14"/>
      <c r="U40" s="14"/>
      <c r="V40" s="15" t="str">
        <f aca="false">IF(AND(S40="",T40=""),"",IFERROR(N(S40)*מקרא!$B$10+N(T40)*מקרא!$B$11,""))</f>
        <v/>
      </c>
      <c r="W40" s="12"/>
      <c r="X40" s="12"/>
      <c r="Y40" s="12"/>
      <c r="Z40" s="12"/>
      <c r="AA40" s="12"/>
      <c r="AB40" s="9" t="n">
        <v>31.14098</v>
      </c>
      <c r="AC40" s="9" t="n">
        <v>34.31475</v>
      </c>
      <c r="AD40" s="16" t="s">
        <v>84</v>
      </c>
      <c r="AE40" s="16" t="s">
        <v>77</v>
      </c>
      <c r="AF40" s="12" t="s">
        <v>101</v>
      </c>
    </row>
    <row r="41" customFormat="false" ht="15" hidden="false" customHeight="false" outlineLevel="0" collapsed="false">
      <c r="A41" s="9" t="n">
        <v>40</v>
      </c>
      <c r="B41" s="10" t="str">
        <f aca="false">IF(C41="",IF(D41="",I41,"החווה של "&amp;D41),IF(D41="",C41,C41&amp;" - החווה של "&amp;D41))</f>
        <v>שלומית</v>
      </c>
      <c r="C41" s="11"/>
      <c r="D41" s="11"/>
      <c r="E41" s="12"/>
      <c r="F41" s="12"/>
      <c r="G41" s="12"/>
      <c r="H41" s="12"/>
      <c r="I41" s="9" t="s">
        <v>130</v>
      </c>
      <c r="J41" s="9" t="n">
        <v>1364</v>
      </c>
      <c r="K41" s="9" t="s">
        <v>90</v>
      </c>
      <c r="L41" s="9" t="s">
        <v>99</v>
      </c>
      <c r="M41" s="9" t="s">
        <v>82</v>
      </c>
      <c r="N41" s="9" t="s">
        <v>100</v>
      </c>
      <c r="O41" s="12"/>
      <c r="P41" s="12"/>
      <c r="Q41" s="12"/>
      <c r="R41" s="13" t="n">
        <v>3250</v>
      </c>
      <c r="S41" s="14"/>
      <c r="T41" s="14"/>
      <c r="U41" s="14"/>
      <c r="V41" s="15" t="str">
        <f aca="false">IF(AND(S41="",T41=""),"",IFERROR(N(S41)*מקרא!$B$10+N(T41)*מקרא!$B$11,""))</f>
        <v/>
      </c>
      <c r="W41" s="12"/>
      <c r="X41" s="12"/>
      <c r="Y41" s="12"/>
      <c r="Z41" s="12"/>
      <c r="AA41" s="12"/>
      <c r="AB41" s="9" t="n">
        <v>31.16797</v>
      </c>
      <c r="AC41" s="9" t="n">
        <v>34.30527</v>
      </c>
      <c r="AD41" s="16" t="s">
        <v>84</v>
      </c>
      <c r="AE41" s="16" t="s">
        <v>77</v>
      </c>
      <c r="AF41" s="12" t="s">
        <v>101</v>
      </c>
    </row>
    <row r="42" customFormat="false" ht="15" hidden="false" customHeight="false" outlineLevel="0" collapsed="false">
      <c r="A42" s="9" t="n">
        <v>41</v>
      </c>
      <c r="B42" s="10" t="str">
        <f aca="false">IF(C42="",IF(D42="",I42,"החווה של "&amp;D42),IF(D42="",C42,C42&amp;" - החווה של "&amp;D42))</f>
        <v>צוחר</v>
      </c>
      <c r="C42" s="11"/>
      <c r="D42" s="11"/>
      <c r="E42" s="12"/>
      <c r="F42" s="12"/>
      <c r="G42" s="12"/>
      <c r="H42" s="12"/>
      <c r="I42" s="9" t="s">
        <v>131</v>
      </c>
      <c r="J42" s="9" t="n">
        <v>1136</v>
      </c>
      <c r="K42" s="9" t="s">
        <v>93</v>
      </c>
      <c r="L42" s="9" t="s">
        <v>99</v>
      </c>
      <c r="M42" s="9" t="s">
        <v>82</v>
      </c>
      <c r="N42" s="9" t="s">
        <v>100</v>
      </c>
      <c r="O42" s="12"/>
      <c r="P42" s="12"/>
      <c r="Q42" s="12"/>
      <c r="R42" s="13" t="n">
        <v>700</v>
      </c>
      <c r="S42" s="14"/>
      <c r="T42" s="14"/>
      <c r="U42" s="14"/>
      <c r="V42" s="15" t="str">
        <f aca="false">IF(AND(S42="",T42=""),"",IFERROR(N(S42)*מקרא!$B$10+N(T42)*מקרא!$B$11,""))</f>
        <v/>
      </c>
      <c r="W42" s="12"/>
      <c r="X42" s="12"/>
      <c r="Y42" s="12"/>
      <c r="Z42" s="12"/>
      <c r="AA42" s="12"/>
      <c r="AB42" s="9" t="n">
        <v>31.2363</v>
      </c>
      <c r="AC42" s="9" t="n">
        <v>34.42564</v>
      </c>
      <c r="AD42" s="16" t="s">
        <v>84</v>
      </c>
      <c r="AE42" s="16" t="s">
        <v>77</v>
      </c>
      <c r="AF42" s="12" t="s">
        <v>101</v>
      </c>
    </row>
    <row r="43" customFormat="false" ht="15" hidden="false" customHeight="false" outlineLevel="0" collapsed="false">
      <c r="A43" s="9" t="n">
        <v>42</v>
      </c>
      <c r="B43" s="10" t="str">
        <f aca="false">IF(C43="",IF(D43="",I43,"החווה של "&amp;D43),IF(D43="",C43,C43&amp;" - החווה של "&amp;D43))</f>
        <v>אבשלום</v>
      </c>
      <c r="C43" s="11"/>
      <c r="D43" s="11"/>
      <c r="E43" s="12"/>
      <c r="F43" s="12"/>
      <c r="G43" s="12"/>
      <c r="H43" s="12"/>
      <c r="I43" s="9" t="s">
        <v>132</v>
      </c>
      <c r="J43" s="9" t="n">
        <v>1311</v>
      </c>
      <c r="K43" s="9" t="s">
        <v>93</v>
      </c>
      <c r="L43" s="9" t="s">
        <v>99</v>
      </c>
      <c r="M43" s="9" t="s">
        <v>82</v>
      </c>
      <c r="N43" s="9" t="s">
        <v>100</v>
      </c>
      <c r="O43" s="12"/>
      <c r="P43" s="12"/>
      <c r="Q43" s="12"/>
      <c r="R43" s="13" t="n">
        <v>700</v>
      </c>
      <c r="S43" s="14"/>
      <c r="T43" s="14"/>
      <c r="U43" s="14"/>
      <c r="V43" s="15" t="str">
        <f aca="false">IF(AND(S43="",T43=""),"",IFERROR(N(S43)*מקרא!$B$10+N(T43)*מקרא!$B$11,""))</f>
        <v/>
      </c>
      <c r="W43" s="12"/>
      <c r="X43" s="12"/>
      <c r="Y43" s="12"/>
      <c r="Z43" s="12"/>
      <c r="AA43" s="12"/>
      <c r="AB43" s="9" t="n">
        <v>31.19556</v>
      </c>
      <c r="AC43" s="9" t="n">
        <v>34.33082</v>
      </c>
      <c r="AD43" s="16" t="s">
        <v>84</v>
      </c>
      <c r="AE43" s="16" t="s">
        <v>77</v>
      </c>
      <c r="AF43" s="12" t="s">
        <v>101</v>
      </c>
    </row>
    <row r="44" customFormat="false" ht="15" hidden="false" customHeight="false" outlineLevel="0" collapsed="false">
      <c r="A44" s="9" t="n">
        <v>43</v>
      </c>
      <c r="B44" s="10" t="str">
        <f aca="false">IF(C44="",IF(D44="",I44,"החווה של "&amp;D44),IF(D44="",C44,C44&amp;" - החווה של "&amp;D44))</f>
        <v>אשבול</v>
      </c>
      <c r="C44" s="11"/>
      <c r="D44" s="11"/>
      <c r="E44" s="12"/>
      <c r="F44" s="12"/>
      <c r="G44" s="12"/>
      <c r="H44" s="12"/>
      <c r="I44" s="9" t="s">
        <v>133</v>
      </c>
      <c r="J44" s="9" t="n">
        <v>71</v>
      </c>
      <c r="K44" s="9" t="s">
        <v>90</v>
      </c>
      <c r="L44" s="9" t="s">
        <v>134</v>
      </c>
      <c r="M44" s="9" t="s">
        <v>82</v>
      </c>
      <c r="N44" s="9" t="s">
        <v>135</v>
      </c>
      <c r="O44" s="12"/>
      <c r="P44" s="12"/>
      <c r="Q44" s="12"/>
      <c r="R44" s="13" t="n">
        <v>3250</v>
      </c>
      <c r="S44" s="14"/>
      <c r="T44" s="14"/>
      <c r="U44" s="14"/>
      <c r="V44" s="15" t="str">
        <f aca="false">IF(AND(S44="",T44=""),"",IFERROR(N(S44)*מקרא!$B$10+N(T44)*מקרא!$B$11,""))</f>
        <v/>
      </c>
      <c r="W44" s="12"/>
      <c r="X44" s="12"/>
      <c r="Y44" s="12"/>
      <c r="Z44" s="12"/>
      <c r="AA44" s="12"/>
      <c r="AB44" s="9" t="n">
        <v>31.44749</v>
      </c>
      <c r="AC44" s="9" t="n">
        <v>34.66596</v>
      </c>
      <c r="AD44" s="16" t="s">
        <v>84</v>
      </c>
      <c r="AE44" s="16" t="s">
        <v>77</v>
      </c>
      <c r="AF44" s="12"/>
    </row>
    <row r="45" customFormat="false" ht="15" hidden="false" customHeight="false" outlineLevel="0" collapsed="false">
      <c r="A45" s="9" t="n">
        <v>44</v>
      </c>
      <c r="B45" s="10" t="str">
        <f aca="false">IF(C45="",IF(D45="",I45,"החווה של "&amp;D45),IF(D45="",C45,C45&amp;" - החווה של "&amp;D45))</f>
        <v>בטחה</v>
      </c>
      <c r="C45" s="11"/>
      <c r="D45" s="11"/>
      <c r="E45" s="12"/>
      <c r="F45" s="12"/>
      <c r="G45" s="12"/>
      <c r="H45" s="12"/>
      <c r="I45" s="9" t="s">
        <v>136</v>
      </c>
      <c r="J45" s="9" t="n">
        <v>762</v>
      </c>
      <c r="K45" s="9" t="s">
        <v>90</v>
      </c>
      <c r="L45" s="9" t="s">
        <v>134</v>
      </c>
      <c r="M45" s="9" t="s">
        <v>82</v>
      </c>
      <c r="N45" s="9" t="s">
        <v>135</v>
      </c>
      <c r="O45" s="12"/>
      <c r="P45" s="12"/>
      <c r="Q45" s="12"/>
      <c r="R45" s="13" t="n">
        <v>3250</v>
      </c>
      <c r="S45" s="14"/>
      <c r="T45" s="14"/>
      <c r="U45" s="14"/>
      <c r="V45" s="15" t="str">
        <f aca="false">IF(AND(S45="",T45=""),"",IFERROR(N(S45)*מקרא!$B$10+N(T45)*מקרא!$B$11,""))</f>
        <v/>
      </c>
      <c r="W45" s="12"/>
      <c r="X45" s="12"/>
      <c r="Y45" s="12"/>
      <c r="Z45" s="12"/>
      <c r="AA45" s="12"/>
      <c r="AB45" s="9" t="n">
        <v>31.33425</v>
      </c>
      <c r="AC45" s="9" t="n">
        <v>34.63246</v>
      </c>
      <c r="AD45" s="16" t="s">
        <v>84</v>
      </c>
      <c r="AE45" s="16" t="s">
        <v>77</v>
      </c>
      <c r="AF45" s="12"/>
    </row>
    <row r="46" customFormat="false" ht="15" hidden="false" customHeight="false" outlineLevel="0" collapsed="false">
      <c r="A46" s="9" t="n">
        <v>45</v>
      </c>
      <c r="B46" s="10" t="str">
        <f aca="false">IF(C46="",IF(D46="",I46,"החווה של "&amp;D46),IF(D46="",C46,C46&amp;" - החווה של "&amp;D46))</f>
        <v>גילת</v>
      </c>
      <c r="C46" s="11"/>
      <c r="D46" s="11"/>
      <c r="E46" s="12"/>
      <c r="F46" s="12"/>
      <c r="G46" s="12"/>
      <c r="H46" s="12"/>
      <c r="I46" s="9" t="s">
        <v>137</v>
      </c>
      <c r="J46" s="9" t="n">
        <v>736</v>
      </c>
      <c r="K46" s="9" t="s">
        <v>90</v>
      </c>
      <c r="L46" s="9" t="s">
        <v>134</v>
      </c>
      <c r="M46" s="9" t="s">
        <v>82</v>
      </c>
      <c r="N46" s="9" t="s">
        <v>135</v>
      </c>
      <c r="O46" s="12"/>
      <c r="P46" s="12"/>
      <c r="Q46" s="12"/>
      <c r="R46" s="13" t="n">
        <v>3250</v>
      </c>
      <c r="S46" s="14"/>
      <c r="T46" s="14"/>
      <c r="U46" s="14"/>
      <c r="V46" s="15" t="str">
        <f aca="false">IF(AND(S46="",T46=""),"",IFERROR(N(S46)*מקרא!$B$10+N(T46)*מקרא!$B$11,""))</f>
        <v/>
      </c>
      <c r="W46" s="12"/>
      <c r="X46" s="12"/>
      <c r="Y46" s="12"/>
      <c r="Z46" s="12"/>
      <c r="AA46" s="12"/>
      <c r="AB46" s="9" t="n">
        <v>31.32793</v>
      </c>
      <c r="AC46" s="9" t="n">
        <v>34.65193</v>
      </c>
      <c r="AD46" s="16" t="s">
        <v>84</v>
      </c>
      <c r="AE46" s="16" t="s">
        <v>77</v>
      </c>
      <c r="AF46" s="12"/>
    </row>
    <row r="47" customFormat="false" ht="15" hidden="false" customHeight="false" outlineLevel="0" collapsed="false">
      <c r="A47" s="9" t="n">
        <v>46</v>
      </c>
      <c r="B47" s="10" t="str">
        <f aca="false">IF(C47="",IF(D47="",I47,"החווה של "&amp;D47),IF(D47="",C47,C47&amp;" - החווה של "&amp;D47))</f>
        <v>מסלול</v>
      </c>
      <c r="C47" s="11"/>
      <c r="D47" s="11"/>
      <c r="E47" s="12"/>
      <c r="F47" s="12"/>
      <c r="G47" s="12"/>
      <c r="H47" s="12"/>
      <c r="I47" s="9" t="s">
        <v>138</v>
      </c>
      <c r="J47" s="9" t="n">
        <v>748</v>
      </c>
      <c r="K47" s="9" t="s">
        <v>90</v>
      </c>
      <c r="L47" s="9" t="s">
        <v>134</v>
      </c>
      <c r="M47" s="9" t="s">
        <v>82</v>
      </c>
      <c r="N47" s="9" t="s">
        <v>135</v>
      </c>
      <c r="O47" s="12"/>
      <c r="P47" s="12"/>
      <c r="Q47" s="12"/>
      <c r="R47" s="13" t="n">
        <v>3250</v>
      </c>
      <c r="S47" s="14"/>
      <c r="T47" s="14"/>
      <c r="U47" s="14"/>
      <c r="V47" s="15" t="str">
        <f aca="false">IF(AND(S47="",T47=""),"",IFERROR(N(S47)*מקרא!$B$10+N(T47)*מקרא!$B$11,""))</f>
        <v/>
      </c>
      <c r="W47" s="12"/>
      <c r="X47" s="12"/>
      <c r="Y47" s="12"/>
      <c r="Z47" s="12"/>
      <c r="AA47" s="12"/>
      <c r="AB47" s="9" t="n">
        <v>31.32431</v>
      </c>
      <c r="AC47" s="9" t="n">
        <v>34.58944</v>
      </c>
      <c r="AD47" s="16" t="s">
        <v>84</v>
      </c>
      <c r="AE47" s="16" t="s">
        <v>77</v>
      </c>
      <c r="AF47" s="12"/>
    </row>
    <row r="48" customFormat="false" ht="15" hidden="false" customHeight="false" outlineLevel="0" collapsed="false">
      <c r="A48" s="9" t="n">
        <v>47</v>
      </c>
      <c r="B48" s="10" t="str">
        <f aca="false">IF(C48="",IF(D48="",I48,"החווה של "&amp;D48),IF(D48="",C48,C48&amp;" - החווה של "&amp;D48))</f>
        <v>ניר משה</v>
      </c>
      <c r="C48" s="11"/>
      <c r="D48" s="11"/>
      <c r="E48" s="12"/>
      <c r="F48" s="12"/>
      <c r="G48" s="12"/>
      <c r="H48" s="12"/>
      <c r="I48" s="9" t="s">
        <v>139</v>
      </c>
      <c r="J48" s="9" t="n">
        <v>2047</v>
      </c>
      <c r="K48" s="9" t="s">
        <v>90</v>
      </c>
      <c r="L48" s="9" t="s">
        <v>134</v>
      </c>
      <c r="M48" s="9" t="s">
        <v>82</v>
      </c>
      <c r="N48" s="9" t="s">
        <v>135</v>
      </c>
      <c r="O48" s="12"/>
      <c r="P48" s="12"/>
      <c r="Q48" s="12"/>
      <c r="R48" s="13" t="n">
        <v>3250</v>
      </c>
      <c r="S48" s="14"/>
      <c r="T48" s="14"/>
      <c r="U48" s="14"/>
      <c r="V48" s="15" t="str">
        <f aca="false">IF(AND(S48="",T48=""),"",IFERROR(N(S48)*מקרא!$B$10+N(T48)*מקרא!$B$11,""))</f>
        <v/>
      </c>
      <c r="W48" s="12"/>
      <c r="X48" s="12"/>
      <c r="Y48" s="12"/>
      <c r="Z48" s="12"/>
      <c r="AA48" s="12"/>
      <c r="AB48" s="9" t="n">
        <v>31.47746</v>
      </c>
      <c r="AC48" s="9" t="n">
        <v>34.63085</v>
      </c>
      <c r="AD48" s="16" t="s">
        <v>84</v>
      </c>
      <c r="AE48" s="16" t="s">
        <v>77</v>
      </c>
      <c r="AF48" s="12"/>
    </row>
    <row r="49" customFormat="false" ht="15" hidden="false" customHeight="false" outlineLevel="0" collapsed="false">
      <c r="A49" s="9" t="n">
        <v>48</v>
      </c>
      <c r="B49" s="10" t="str">
        <f aca="false">IF(C49="",IF(D49="",I49,"החווה של "&amp;D49),IF(D49="",C49,C49&amp;" - החווה של "&amp;D49))</f>
        <v>ניר עקיבא</v>
      </c>
      <c r="C49" s="11"/>
      <c r="D49" s="11"/>
      <c r="E49" s="12"/>
      <c r="F49" s="12"/>
      <c r="G49" s="12"/>
      <c r="H49" s="12"/>
      <c r="I49" s="9" t="s">
        <v>140</v>
      </c>
      <c r="J49" s="9" t="n">
        <v>2048</v>
      </c>
      <c r="K49" s="9" t="s">
        <v>90</v>
      </c>
      <c r="L49" s="9" t="s">
        <v>134</v>
      </c>
      <c r="M49" s="9" t="s">
        <v>82</v>
      </c>
      <c r="N49" s="9" t="s">
        <v>135</v>
      </c>
      <c r="O49" s="12"/>
      <c r="P49" s="12"/>
      <c r="Q49" s="12"/>
      <c r="R49" s="13" t="n">
        <v>3250</v>
      </c>
      <c r="S49" s="14"/>
      <c r="T49" s="14"/>
      <c r="U49" s="14"/>
      <c r="V49" s="15" t="str">
        <f aca="false">IF(AND(S49="",T49=""),"",IFERROR(N(S49)*מקרא!$B$10+N(T49)*מקרא!$B$11,""))</f>
        <v/>
      </c>
      <c r="W49" s="12"/>
      <c r="X49" s="12"/>
      <c r="Y49" s="12"/>
      <c r="Z49" s="12"/>
      <c r="AA49" s="12"/>
      <c r="AB49" s="9" t="n">
        <v>31.46987</v>
      </c>
      <c r="AC49" s="9" t="n">
        <v>34.64658</v>
      </c>
      <c r="AD49" s="16" t="s">
        <v>84</v>
      </c>
      <c r="AE49" s="16" t="s">
        <v>77</v>
      </c>
      <c r="AF49" s="12"/>
    </row>
    <row r="50" customFormat="false" ht="15" hidden="false" customHeight="false" outlineLevel="0" collapsed="false">
      <c r="A50" s="9" t="n">
        <v>49</v>
      </c>
      <c r="B50" s="10" t="str">
        <f aca="false">IF(C50="",IF(D50="",I50,"החווה של "&amp;D50),IF(D50="",C50,C50&amp;" - החווה של "&amp;D50))</f>
        <v>פדויים</v>
      </c>
      <c r="C50" s="11"/>
      <c r="D50" s="11"/>
      <c r="E50" s="12"/>
      <c r="F50" s="12"/>
      <c r="G50" s="12"/>
      <c r="H50" s="12"/>
      <c r="I50" s="9" t="s">
        <v>141</v>
      </c>
      <c r="J50" s="9" t="n">
        <v>750</v>
      </c>
      <c r="K50" s="9" t="s">
        <v>90</v>
      </c>
      <c r="L50" s="9" t="s">
        <v>134</v>
      </c>
      <c r="M50" s="9" t="s">
        <v>82</v>
      </c>
      <c r="N50" s="9" t="s">
        <v>135</v>
      </c>
      <c r="O50" s="12"/>
      <c r="P50" s="12"/>
      <c r="Q50" s="12"/>
      <c r="R50" s="13" t="n">
        <v>3250</v>
      </c>
      <c r="S50" s="14"/>
      <c r="T50" s="14"/>
      <c r="U50" s="14"/>
      <c r="V50" s="15" t="str">
        <f aca="false">IF(AND(S50="",T50=""),"",IFERROR(N(S50)*מקרא!$B$10+N(T50)*מקרא!$B$11,""))</f>
        <v/>
      </c>
      <c r="W50" s="12"/>
      <c r="X50" s="12"/>
      <c r="Y50" s="12"/>
      <c r="Z50" s="12"/>
      <c r="AA50" s="12"/>
      <c r="AB50" s="9" t="n">
        <v>31.32685</v>
      </c>
      <c r="AC50" s="9" t="n">
        <v>34.61107</v>
      </c>
      <c r="AD50" s="16" t="s">
        <v>84</v>
      </c>
      <c r="AE50" s="16" t="s">
        <v>77</v>
      </c>
      <c r="AF50" s="12"/>
    </row>
    <row r="51" customFormat="false" ht="15" hidden="false" customHeight="false" outlineLevel="0" collapsed="false">
      <c r="A51" s="9" t="n">
        <v>50</v>
      </c>
      <c r="B51" s="10" t="str">
        <f aca="false">IF(C51="",IF(D51="",I51,"החווה של "&amp;D51),IF(D51="",C51,C51&amp;" - החווה של "&amp;D51))</f>
        <v>פטיש</v>
      </c>
      <c r="C51" s="11"/>
      <c r="D51" s="11"/>
      <c r="E51" s="12"/>
      <c r="F51" s="12"/>
      <c r="G51" s="12"/>
      <c r="H51" s="12"/>
      <c r="I51" s="9" t="s">
        <v>142</v>
      </c>
      <c r="J51" s="9" t="n">
        <v>749</v>
      </c>
      <c r="K51" s="9" t="s">
        <v>90</v>
      </c>
      <c r="L51" s="9" t="s">
        <v>134</v>
      </c>
      <c r="M51" s="9" t="s">
        <v>82</v>
      </c>
      <c r="N51" s="9" t="s">
        <v>135</v>
      </c>
      <c r="O51" s="12"/>
      <c r="P51" s="12"/>
      <c r="Q51" s="12"/>
      <c r="R51" s="13" t="n">
        <v>3250</v>
      </c>
      <c r="S51" s="14"/>
      <c r="T51" s="14"/>
      <c r="U51" s="14"/>
      <c r="V51" s="15" t="str">
        <f aca="false">IF(AND(S51="",T51=""),"",IFERROR(N(S51)*מקרא!$B$10+N(T51)*מקרא!$B$11,""))</f>
        <v/>
      </c>
      <c r="W51" s="12"/>
      <c r="X51" s="12"/>
      <c r="Y51" s="12"/>
      <c r="Z51" s="12"/>
      <c r="AA51" s="12"/>
      <c r="AB51" s="9" t="n">
        <v>31.32733</v>
      </c>
      <c r="AC51" s="9" t="n">
        <v>34.56001</v>
      </c>
      <c r="AD51" s="16" t="s">
        <v>84</v>
      </c>
      <c r="AE51" s="16" t="s">
        <v>77</v>
      </c>
      <c r="AF51" s="12"/>
    </row>
    <row r="52" customFormat="false" ht="15" hidden="false" customHeight="false" outlineLevel="0" collapsed="false">
      <c r="A52" s="9" t="n">
        <v>51</v>
      </c>
      <c r="B52" s="10" t="str">
        <f aca="false">IF(C52="",IF(D52="",I52,"החווה של "&amp;D52),IF(D52="",C52,C52&amp;" - החווה של "&amp;D52))</f>
        <v>פעמי תש"ז</v>
      </c>
      <c r="C52" s="11"/>
      <c r="D52" s="11"/>
      <c r="E52" s="12"/>
      <c r="F52" s="12"/>
      <c r="G52" s="12"/>
      <c r="H52" s="12"/>
      <c r="I52" s="9" t="s">
        <v>143</v>
      </c>
      <c r="J52" s="9" t="n">
        <v>2059</v>
      </c>
      <c r="K52" s="9" t="s">
        <v>90</v>
      </c>
      <c r="L52" s="9" t="s">
        <v>134</v>
      </c>
      <c r="M52" s="9" t="s">
        <v>82</v>
      </c>
      <c r="N52" s="9" t="s">
        <v>135</v>
      </c>
      <c r="O52" s="12"/>
      <c r="P52" s="12"/>
      <c r="Q52" s="12"/>
      <c r="R52" s="13" t="n">
        <v>3250</v>
      </c>
      <c r="S52" s="14"/>
      <c r="T52" s="14"/>
      <c r="U52" s="14"/>
      <c r="V52" s="15" t="str">
        <f aca="false">IF(AND(S52="",T52=""),"",IFERROR(N(S52)*מקרא!$B$10+N(T52)*מקרא!$B$11,""))</f>
        <v/>
      </c>
      <c r="W52" s="12"/>
      <c r="X52" s="12"/>
      <c r="Y52" s="12"/>
      <c r="Z52" s="12"/>
      <c r="AA52" s="12"/>
      <c r="AB52" s="9" t="n">
        <v>31.43912</v>
      </c>
      <c r="AC52" s="9" t="n">
        <v>34.69273</v>
      </c>
      <c r="AD52" s="16" t="s">
        <v>84</v>
      </c>
      <c r="AE52" s="16" t="s">
        <v>77</v>
      </c>
      <c r="AF52" s="12"/>
    </row>
    <row r="53" customFormat="false" ht="15" hidden="false" customHeight="false" outlineLevel="0" collapsed="false">
      <c r="A53" s="9" t="n">
        <v>52</v>
      </c>
      <c r="B53" s="10" t="str">
        <f aca="false">IF(C53="",IF(D53="",I53,"החווה של "&amp;D53),IF(D53="",C53,C53&amp;" - החווה של "&amp;D53))</f>
        <v>קלחים</v>
      </c>
      <c r="C53" s="11"/>
      <c r="D53" s="11"/>
      <c r="E53" s="12"/>
      <c r="F53" s="12"/>
      <c r="G53" s="12"/>
      <c r="H53" s="12"/>
      <c r="I53" s="9" t="s">
        <v>144</v>
      </c>
      <c r="J53" s="9" t="n">
        <v>414</v>
      </c>
      <c r="K53" s="9" t="s">
        <v>90</v>
      </c>
      <c r="L53" s="9" t="s">
        <v>134</v>
      </c>
      <c r="M53" s="9" t="s">
        <v>82</v>
      </c>
      <c r="N53" s="9" t="s">
        <v>135</v>
      </c>
      <c r="O53" s="12"/>
      <c r="P53" s="12"/>
      <c r="Q53" s="12"/>
      <c r="R53" s="13" t="n">
        <v>3250</v>
      </c>
      <c r="S53" s="14"/>
      <c r="T53" s="14"/>
      <c r="U53" s="14"/>
      <c r="V53" s="15" t="str">
        <f aca="false">IF(AND(S53="",T53=""),"",IFERROR(N(S53)*מקרא!$B$10+N(T53)*מקרא!$B$11,""))</f>
        <v/>
      </c>
      <c r="W53" s="12"/>
      <c r="X53" s="12"/>
      <c r="Y53" s="12"/>
      <c r="Z53" s="12"/>
      <c r="AA53" s="12"/>
      <c r="AB53" s="9" t="n">
        <v>31.44935</v>
      </c>
      <c r="AC53" s="9" t="n">
        <v>34.67784</v>
      </c>
      <c r="AD53" s="16" t="s">
        <v>84</v>
      </c>
      <c r="AE53" s="16" t="s">
        <v>77</v>
      </c>
      <c r="AF53" s="12"/>
    </row>
    <row r="54" customFormat="false" ht="15" hidden="false" customHeight="false" outlineLevel="0" collapsed="false">
      <c r="A54" s="9" t="n">
        <v>53</v>
      </c>
      <c r="B54" s="10" t="str">
        <f aca="false">IF(C54="",IF(D54="",I54,"החווה של "&amp;D54),IF(D54="",C54,C54&amp;" - החווה של "&amp;D54))</f>
        <v>רנן</v>
      </c>
      <c r="C54" s="11"/>
      <c r="D54" s="11"/>
      <c r="E54" s="12"/>
      <c r="F54" s="12"/>
      <c r="G54" s="12"/>
      <c r="H54" s="12"/>
      <c r="I54" s="9" t="s">
        <v>145</v>
      </c>
      <c r="J54" s="9" t="n">
        <v>789</v>
      </c>
      <c r="K54" s="9" t="s">
        <v>90</v>
      </c>
      <c r="L54" s="9" t="s">
        <v>134</v>
      </c>
      <c r="M54" s="9" t="s">
        <v>82</v>
      </c>
      <c r="N54" s="9" t="s">
        <v>135</v>
      </c>
      <c r="O54" s="12"/>
      <c r="P54" s="12"/>
      <c r="Q54" s="12"/>
      <c r="R54" s="13" t="n">
        <v>3250</v>
      </c>
      <c r="S54" s="14"/>
      <c r="T54" s="14"/>
      <c r="U54" s="14"/>
      <c r="V54" s="15" t="str">
        <f aca="false">IF(AND(S54="",T54=""),"",IFERROR(N(S54)*מקרא!$B$10+N(T54)*מקרא!$B$11,""))</f>
        <v/>
      </c>
      <c r="W54" s="12"/>
      <c r="X54" s="12"/>
      <c r="Y54" s="12"/>
      <c r="Z54" s="12"/>
      <c r="AA54" s="12"/>
      <c r="AB54" s="9" t="n">
        <v>31.33799</v>
      </c>
      <c r="AC54" s="9" t="n">
        <v>34.60133</v>
      </c>
      <c r="AD54" s="16" t="s">
        <v>84</v>
      </c>
      <c r="AE54" s="16" t="s">
        <v>77</v>
      </c>
      <c r="AF54" s="12"/>
    </row>
    <row r="55" customFormat="false" ht="15" hidden="false" customHeight="false" outlineLevel="0" collapsed="false">
      <c r="A55" s="9" t="n">
        <v>54</v>
      </c>
      <c r="B55" s="10" t="str">
        <f aca="false">IF(C55="",IF(D55="",I55,"החווה של "&amp;D55),IF(D55="",C55,C55&amp;" - החווה של "&amp;D55))</f>
        <v>שדה צבי</v>
      </c>
      <c r="C55" s="11"/>
      <c r="D55" s="11"/>
      <c r="E55" s="12"/>
      <c r="F55" s="12"/>
      <c r="G55" s="12"/>
      <c r="H55" s="12"/>
      <c r="I55" s="9" t="s">
        <v>146</v>
      </c>
      <c r="J55" s="9" t="n">
        <v>2049</v>
      </c>
      <c r="K55" s="9" t="s">
        <v>90</v>
      </c>
      <c r="L55" s="9" t="s">
        <v>134</v>
      </c>
      <c r="M55" s="9" t="s">
        <v>82</v>
      </c>
      <c r="N55" s="9" t="s">
        <v>135</v>
      </c>
      <c r="O55" s="12"/>
      <c r="P55" s="12"/>
      <c r="Q55" s="12"/>
      <c r="R55" s="13" t="n">
        <v>3250</v>
      </c>
      <c r="S55" s="14"/>
      <c r="T55" s="14"/>
      <c r="U55" s="14"/>
      <c r="V55" s="15" t="str">
        <f aca="false">IF(AND(S55="",T55=""),"",IFERROR(N(S55)*מקרא!$B$10+N(T55)*מקרא!$B$11,""))</f>
        <v/>
      </c>
      <c r="W55" s="12"/>
      <c r="X55" s="12"/>
      <c r="Y55" s="12"/>
      <c r="Z55" s="12"/>
      <c r="AA55" s="12"/>
      <c r="AB55" s="9" t="n">
        <v>31.44876</v>
      </c>
      <c r="AC55" s="9" t="n">
        <v>34.71224</v>
      </c>
      <c r="AD55" s="16" t="s">
        <v>84</v>
      </c>
      <c r="AE55" s="16" t="s">
        <v>77</v>
      </c>
      <c r="AF55" s="12"/>
    </row>
    <row r="56" customFormat="false" ht="15" hidden="false" customHeight="false" outlineLevel="0" collapsed="false">
      <c r="A56" s="9" t="n">
        <v>55</v>
      </c>
      <c r="B56" s="10" t="str">
        <f aca="false">IF(C56="",IF(D56="",I56,"החווה של "&amp;D56),IF(D56="",C56,C56&amp;" - החווה של "&amp;D56))</f>
        <v>תלמי ביל"ו</v>
      </c>
      <c r="C56" s="11"/>
      <c r="D56" s="11"/>
      <c r="E56" s="12"/>
      <c r="F56" s="12"/>
      <c r="G56" s="12"/>
      <c r="H56" s="12"/>
      <c r="I56" s="9" t="s">
        <v>147</v>
      </c>
      <c r="J56" s="9" t="n">
        <v>2050</v>
      </c>
      <c r="K56" s="9" t="s">
        <v>90</v>
      </c>
      <c r="L56" s="9" t="s">
        <v>134</v>
      </c>
      <c r="M56" s="9" t="s">
        <v>82</v>
      </c>
      <c r="N56" s="9" t="s">
        <v>135</v>
      </c>
      <c r="O56" s="12"/>
      <c r="P56" s="12"/>
      <c r="Q56" s="12"/>
      <c r="R56" s="13" t="n">
        <v>3250</v>
      </c>
      <c r="S56" s="14"/>
      <c r="T56" s="14"/>
      <c r="U56" s="14"/>
      <c r="V56" s="15" t="str">
        <f aca="false">IF(AND(S56="",T56=""),"",IFERROR(N(S56)*מקרא!$B$10+N(T56)*מקרא!$B$11,""))</f>
        <v/>
      </c>
      <c r="W56" s="12"/>
      <c r="X56" s="12"/>
      <c r="Y56" s="12"/>
      <c r="Z56" s="12"/>
      <c r="AA56" s="12"/>
      <c r="AB56" s="9" t="n">
        <v>31.43775</v>
      </c>
      <c r="AC56" s="9" t="n">
        <v>34.64508</v>
      </c>
      <c r="AD56" s="16" t="s">
        <v>84</v>
      </c>
      <c r="AE56" s="16" t="s">
        <v>77</v>
      </c>
      <c r="AF56" s="12"/>
    </row>
    <row r="57" customFormat="false" ht="15" hidden="false" customHeight="false" outlineLevel="0" collapsed="false">
      <c r="A57" s="9" t="n">
        <v>56</v>
      </c>
      <c r="B57" s="10" t="str">
        <f aca="false">IF(C57="",IF(D57="",I57,"החווה של "&amp;D57),IF(D57="",C57,C57&amp;" - החווה של "&amp;D57))</f>
        <v>תפרח</v>
      </c>
      <c r="C57" s="11"/>
      <c r="D57" s="11"/>
      <c r="E57" s="12"/>
      <c r="F57" s="12"/>
      <c r="G57" s="12"/>
      <c r="H57" s="12"/>
      <c r="I57" s="9" t="s">
        <v>148</v>
      </c>
      <c r="J57" s="9" t="n">
        <v>709</v>
      </c>
      <c r="K57" s="9" t="s">
        <v>90</v>
      </c>
      <c r="L57" s="9" t="s">
        <v>134</v>
      </c>
      <c r="M57" s="9" t="s">
        <v>82</v>
      </c>
      <c r="N57" s="9" t="s">
        <v>135</v>
      </c>
      <c r="O57" s="12"/>
      <c r="P57" s="12"/>
      <c r="Q57" s="12"/>
      <c r="R57" s="13" t="n">
        <v>3250</v>
      </c>
      <c r="S57" s="14"/>
      <c r="T57" s="14"/>
      <c r="U57" s="14"/>
      <c r="V57" s="15" t="str">
        <f aca="false">IF(AND(S57="",T57=""),"",IFERROR(N(S57)*מקרא!$B$10+N(T57)*מקרא!$B$11,""))</f>
        <v/>
      </c>
      <c r="W57" s="12"/>
      <c r="X57" s="12"/>
      <c r="Y57" s="12"/>
      <c r="Z57" s="12"/>
      <c r="AA57" s="12"/>
      <c r="AB57" s="9" t="n">
        <v>31.32534</v>
      </c>
      <c r="AC57" s="9" t="n">
        <v>34.67811</v>
      </c>
      <c r="AD57" s="16" t="s">
        <v>84</v>
      </c>
      <c r="AE57" s="16" t="s">
        <v>77</v>
      </c>
      <c r="AF57" s="12"/>
    </row>
    <row r="58" customFormat="false" ht="15" hidden="false" customHeight="false" outlineLevel="0" collapsed="false">
      <c r="A58" s="9" t="n">
        <v>57</v>
      </c>
      <c r="B58" s="10" t="str">
        <f aca="false">IF(C58="",IF(D58="",I58,"החווה של "&amp;D58),IF(D58="",C58,C58&amp;" - החווה של "&amp;D58))</f>
        <v>מבועים</v>
      </c>
      <c r="C58" s="11"/>
      <c r="D58" s="11"/>
      <c r="E58" s="12"/>
      <c r="F58" s="12"/>
      <c r="G58" s="12"/>
      <c r="H58" s="12"/>
      <c r="I58" s="9" t="s">
        <v>149</v>
      </c>
      <c r="J58" s="9" t="n">
        <v>1080</v>
      </c>
      <c r="K58" s="9" t="s">
        <v>93</v>
      </c>
      <c r="L58" s="9" t="s">
        <v>134</v>
      </c>
      <c r="M58" s="9" t="s">
        <v>82</v>
      </c>
      <c r="N58" s="9" t="s">
        <v>135</v>
      </c>
      <c r="O58" s="12"/>
      <c r="P58" s="12"/>
      <c r="Q58" s="12"/>
      <c r="R58" s="13" t="n">
        <v>700</v>
      </c>
      <c r="S58" s="14"/>
      <c r="T58" s="14"/>
      <c r="U58" s="14"/>
      <c r="V58" s="15" t="str">
        <f aca="false">IF(AND(S58="",T58=""),"",IFERROR(N(S58)*מקרא!$B$10+N(T58)*מקרא!$B$11,""))</f>
        <v/>
      </c>
      <c r="W58" s="12"/>
      <c r="X58" s="12"/>
      <c r="Y58" s="12"/>
      <c r="Z58" s="12"/>
      <c r="AA58" s="12"/>
      <c r="AB58" s="9" t="n">
        <v>31.44979</v>
      </c>
      <c r="AC58" s="9" t="n">
        <v>34.65459</v>
      </c>
      <c r="AD58" s="16" t="s">
        <v>84</v>
      </c>
      <c r="AE58" s="16" t="s">
        <v>77</v>
      </c>
      <c r="AF58" s="12"/>
    </row>
    <row r="59" customFormat="false" ht="15" hidden="false" customHeight="false" outlineLevel="0" collapsed="false">
      <c r="A59" s="9" t="n">
        <v>58</v>
      </c>
      <c r="B59" s="10" t="str">
        <f aca="false">IF(C59="",IF(D59="",I59,"החווה של "&amp;D59),IF(D59="",C59,C59&amp;" - החווה של "&amp;D59))</f>
        <v>בית קמה</v>
      </c>
      <c r="C59" s="11"/>
      <c r="D59" s="11"/>
      <c r="E59" s="12"/>
      <c r="F59" s="12"/>
      <c r="G59" s="12"/>
      <c r="H59" s="12"/>
      <c r="I59" s="9" t="s">
        <v>150</v>
      </c>
      <c r="J59" s="9" t="n">
        <v>598</v>
      </c>
      <c r="K59" s="9" t="s">
        <v>80</v>
      </c>
      <c r="L59" s="9" t="s">
        <v>151</v>
      </c>
      <c r="M59" s="9" t="s">
        <v>82</v>
      </c>
      <c r="N59" s="9" t="s">
        <v>152</v>
      </c>
      <c r="O59" s="12"/>
      <c r="P59" s="12"/>
      <c r="Q59" s="12"/>
      <c r="R59" s="13" t="n">
        <v>9000</v>
      </c>
      <c r="S59" s="14"/>
      <c r="T59" s="14"/>
      <c r="U59" s="14"/>
      <c r="V59" s="15" t="str">
        <f aca="false">IF(AND(S59="",T59=""),"",IFERROR(N(S59)*מקרא!$B$10+N(T59)*מקרא!$B$11,""))</f>
        <v/>
      </c>
      <c r="W59" s="12"/>
      <c r="X59" s="12"/>
      <c r="Y59" s="12"/>
      <c r="Z59" s="12"/>
      <c r="AA59" s="12"/>
      <c r="AB59" s="9" t="n">
        <v>31.44849</v>
      </c>
      <c r="AC59" s="9" t="n">
        <v>34.76106</v>
      </c>
      <c r="AD59" s="16" t="s">
        <v>84</v>
      </c>
      <c r="AE59" s="16" t="s">
        <v>77</v>
      </c>
      <c r="AF59" s="12"/>
    </row>
    <row r="60" customFormat="false" ht="15" hidden="false" customHeight="false" outlineLevel="0" collapsed="false">
      <c r="A60" s="9" t="n">
        <v>59</v>
      </c>
      <c r="B60" s="10" t="str">
        <f aca="false">IF(C60="",IF(D60="",I60,"החווה של "&amp;D60),IF(D60="",C60,C60&amp;" - החווה של "&amp;D60))</f>
        <v>דביר</v>
      </c>
      <c r="C60" s="11"/>
      <c r="D60" s="11"/>
      <c r="E60" s="12"/>
      <c r="F60" s="12"/>
      <c r="G60" s="12"/>
      <c r="H60" s="12"/>
      <c r="I60" s="9" t="s">
        <v>153</v>
      </c>
      <c r="J60" s="9" t="n">
        <v>849</v>
      </c>
      <c r="K60" s="9" t="s">
        <v>80</v>
      </c>
      <c r="L60" s="9" t="s">
        <v>151</v>
      </c>
      <c r="M60" s="9" t="s">
        <v>82</v>
      </c>
      <c r="N60" s="9" t="s">
        <v>152</v>
      </c>
      <c r="O60" s="12"/>
      <c r="P60" s="12"/>
      <c r="Q60" s="12"/>
      <c r="R60" s="13" t="n">
        <v>9000</v>
      </c>
      <c r="S60" s="14"/>
      <c r="T60" s="14"/>
      <c r="U60" s="14"/>
      <c r="V60" s="15" t="str">
        <f aca="false">IF(AND(S60="",T60=""),"",IFERROR(N(S60)*מקרא!$B$10+N(T60)*מקרא!$B$11,""))</f>
        <v/>
      </c>
      <c r="W60" s="12"/>
      <c r="X60" s="12"/>
      <c r="Y60" s="12"/>
      <c r="Z60" s="12"/>
      <c r="AA60" s="12"/>
      <c r="AB60" s="9" t="n">
        <v>31.41342</v>
      </c>
      <c r="AC60" s="9" t="n">
        <v>34.82274</v>
      </c>
      <c r="AD60" s="16" t="s">
        <v>84</v>
      </c>
      <c r="AE60" s="16" t="s">
        <v>77</v>
      </c>
      <c r="AF60" s="12"/>
    </row>
    <row r="61" customFormat="false" ht="15" hidden="false" customHeight="false" outlineLevel="0" collapsed="false">
      <c r="A61" s="9" t="n">
        <v>60</v>
      </c>
      <c r="B61" s="10" t="str">
        <f aca="false">IF(C61="",IF(D61="",I61,"החווה של "&amp;D61),IF(D61="",C61,C61&amp;" - החווה של "&amp;D61))</f>
        <v>חצרים</v>
      </c>
      <c r="C61" s="11"/>
      <c r="D61" s="11"/>
      <c r="E61" s="12"/>
      <c r="F61" s="12"/>
      <c r="G61" s="12"/>
      <c r="H61" s="12"/>
      <c r="I61" s="9" t="s">
        <v>154</v>
      </c>
      <c r="J61" s="9" t="n">
        <v>397</v>
      </c>
      <c r="K61" s="9" t="s">
        <v>80</v>
      </c>
      <c r="L61" s="9" t="s">
        <v>151</v>
      </c>
      <c r="M61" s="9" t="s">
        <v>82</v>
      </c>
      <c r="N61" s="9" t="s">
        <v>152</v>
      </c>
      <c r="O61" s="12"/>
      <c r="P61" s="12"/>
      <c r="Q61" s="12"/>
      <c r="R61" s="13" t="n">
        <v>9000</v>
      </c>
      <c r="S61" s="14"/>
      <c r="T61" s="14"/>
      <c r="U61" s="14"/>
      <c r="V61" s="15" t="str">
        <f aca="false">IF(AND(S61="",T61=""),"",IFERROR(N(S61)*מקרא!$B$10+N(T61)*מקרא!$B$11,""))</f>
        <v/>
      </c>
      <c r="W61" s="12"/>
      <c r="X61" s="12"/>
      <c r="Y61" s="12"/>
      <c r="Z61" s="12"/>
      <c r="AA61" s="12"/>
      <c r="AB61" s="9" t="n">
        <v>31.24007</v>
      </c>
      <c r="AC61" s="9" t="n">
        <v>34.71343</v>
      </c>
      <c r="AD61" s="16" t="s">
        <v>84</v>
      </c>
      <c r="AE61" s="16" t="s">
        <v>77</v>
      </c>
      <c r="AF61" s="12"/>
    </row>
    <row r="62" customFormat="false" ht="15" hidden="false" customHeight="false" outlineLevel="0" collapsed="false">
      <c r="A62" s="9" t="n">
        <v>61</v>
      </c>
      <c r="B62" s="10" t="str">
        <f aca="false">IF(C62="",IF(D62="",I62,"החווה של "&amp;D62),IF(D62="",C62,C62&amp;" - החווה של "&amp;D62))</f>
        <v>כרמים</v>
      </c>
      <c r="C62" s="11"/>
      <c r="D62" s="11"/>
      <c r="E62" s="12"/>
      <c r="F62" s="12"/>
      <c r="G62" s="12"/>
      <c r="H62" s="12"/>
      <c r="I62" s="9" t="s">
        <v>155</v>
      </c>
      <c r="J62" s="9" t="n">
        <v>1198</v>
      </c>
      <c r="K62" s="9" t="s">
        <v>80</v>
      </c>
      <c r="L62" s="9" t="s">
        <v>151</v>
      </c>
      <c r="M62" s="9" t="s">
        <v>82</v>
      </c>
      <c r="N62" s="9" t="s">
        <v>152</v>
      </c>
      <c r="O62" s="12"/>
      <c r="P62" s="12"/>
      <c r="Q62" s="12"/>
      <c r="R62" s="13" t="n">
        <v>9000</v>
      </c>
      <c r="S62" s="14"/>
      <c r="T62" s="14"/>
      <c r="U62" s="14"/>
      <c r="V62" s="15" t="str">
        <f aca="false">IF(AND(S62="",T62=""),"",IFERROR(N(S62)*מקרא!$B$10+N(T62)*מקרא!$B$11,""))</f>
        <v/>
      </c>
      <c r="W62" s="12"/>
      <c r="X62" s="12"/>
      <c r="Y62" s="12"/>
      <c r="Z62" s="12"/>
      <c r="AA62" s="12"/>
      <c r="AB62" s="9" t="n">
        <v>31.33376</v>
      </c>
      <c r="AC62" s="9" t="n">
        <v>34.91805</v>
      </c>
      <c r="AD62" s="16" t="s">
        <v>84</v>
      </c>
      <c r="AE62" s="16" t="s">
        <v>77</v>
      </c>
      <c r="AF62" s="12"/>
    </row>
    <row r="63" customFormat="false" ht="15" hidden="false" customHeight="false" outlineLevel="0" collapsed="false">
      <c r="A63" s="9" t="n">
        <v>62</v>
      </c>
      <c r="B63" s="10" t="str">
        <f aca="false">IF(C63="",IF(D63="",I63,"החווה של "&amp;D63),IF(D63="",C63,C63&amp;" - החווה של "&amp;D63))</f>
        <v>להב</v>
      </c>
      <c r="C63" s="11"/>
      <c r="D63" s="11"/>
      <c r="E63" s="12"/>
      <c r="F63" s="12"/>
      <c r="G63" s="12"/>
      <c r="H63" s="12"/>
      <c r="I63" s="9" t="s">
        <v>156</v>
      </c>
      <c r="J63" s="9" t="n">
        <v>2023</v>
      </c>
      <c r="K63" s="9" t="s">
        <v>80</v>
      </c>
      <c r="L63" s="9" t="s">
        <v>151</v>
      </c>
      <c r="M63" s="9" t="s">
        <v>82</v>
      </c>
      <c r="N63" s="9" t="s">
        <v>152</v>
      </c>
      <c r="O63" s="12"/>
      <c r="P63" s="12"/>
      <c r="Q63" s="12"/>
      <c r="R63" s="13" t="n">
        <v>9000</v>
      </c>
      <c r="S63" s="14"/>
      <c r="T63" s="14"/>
      <c r="U63" s="14"/>
      <c r="V63" s="15" t="str">
        <f aca="false">IF(AND(S63="",T63=""),"",IFERROR(N(S63)*מקרא!$B$10+N(T63)*מקרא!$B$11,""))</f>
        <v/>
      </c>
      <c r="W63" s="12"/>
      <c r="X63" s="12"/>
      <c r="Y63" s="12"/>
      <c r="Z63" s="12"/>
      <c r="AA63" s="12"/>
      <c r="AB63" s="9" t="n">
        <v>31.37928</v>
      </c>
      <c r="AC63" s="9" t="n">
        <v>34.86861</v>
      </c>
      <c r="AD63" s="16" t="s">
        <v>84</v>
      </c>
      <c r="AE63" s="16" t="s">
        <v>77</v>
      </c>
      <c r="AF63" s="12"/>
    </row>
    <row r="64" customFormat="false" ht="15" hidden="false" customHeight="false" outlineLevel="0" collapsed="false">
      <c r="A64" s="9" t="n">
        <v>63</v>
      </c>
      <c r="B64" s="10" t="str">
        <f aca="false">IF(C64="",IF(D64="",I64,"החווה של "&amp;D64),IF(D64="",C64,C64&amp;" - החווה של "&amp;D64))</f>
        <v>משמר הנגב</v>
      </c>
      <c r="C64" s="11"/>
      <c r="D64" s="11"/>
      <c r="E64" s="12"/>
      <c r="F64" s="12"/>
      <c r="G64" s="12"/>
      <c r="H64" s="12"/>
      <c r="I64" s="9" t="s">
        <v>157</v>
      </c>
      <c r="J64" s="9" t="n">
        <v>395</v>
      </c>
      <c r="K64" s="9" t="s">
        <v>80</v>
      </c>
      <c r="L64" s="9" t="s">
        <v>151</v>
      </c>
      <c r="M64" s="9" t="s">
        <v>82</v>
      </c>
      <c r="N64" s="9" t="s">
        <v>152</v>
      </c>
      <c r="O64" s="12"/>
      <c r="P64" s="12"/>
      <c r="Q64" s="12"/>
      <c r="R64" s="13" t="n">
        <v>9000</v>
      </c>
      <c r="S64" s="14"/>
      <c r="T64" s="14"/>
      <c r="U64" s="14"/>
      <c r="V64" s="15" t="str">
        <f aca="false">IF(AND(S64="",T64=""),"",IFERROR(N(S64)*מקרא!$B$10+N(T64)*מקרא!$B$11,""))</f>
        <v/>
      </c>
      <c r="W64" s="12"/>
      <c r="X64" s="12"/>
      <c r="Y64" s="12"/>
      <c r="Z64" s="12"/>
      <c r="AA64" s="12"/>
      <c r="AB64" s="9" t="n">
        <v>31.36346</v>
      </c>
      <c r="AC64" s="9" t="n">
        <v>34.717</v>
      </c>
      <c r="AD64" s="16" t="s">
        <v>84</v>
      </c>
      <c r="AE64" s="16" t="s">
        <v>77</v>
      </c>
      <c r="AF64" s="12"/>
    </row>
    <row r="65" customFormat="false" ht="15" hidden="false" customHeight="false" outlineLevel="0" collapsed="false">
      <c r="A65" s="9" t="n">
        <v>64</v>
      </c>
      <c r="B65" s="10" t="str">
        <f aca="false">IF(C65="",IF(D65="",I65,"החווה של "&amp;D65),IF(D65="",C65,C65&amp;" - החווה של "&amp;D65))</f>
        <v>שובל</v>
      </c>
      <c r="C65" s="11"/>
      <c r="D65" s="11"/>
      <c r="E65" s="12"/>
      <c r="F65" s="12"/>
      <c r="G65" s="12"/>
      <c r="H65" s="12"/>
      <c r="I65" s="9" t="s">
        <v>158</v>
      </c>
      <c r="J65" s="9" t="n">
        <v>394</v>
      </c>
      <c r="K65" s="9" t="s">
        <v>80</v>
      </c>
      <c r="L65" s="9" t="s">
        <v>151</v>
      </c>
      <c r="M65" s="9" t="s">
        <v>82</v>
      </c>
      <c r="N65" s="9" t="s">
        <v>152</v>
      </c>
      <c r="O65" s="12"/>
      <c r="P65" s="12"/>
      <c r="Q65" s="12"/>
      <c r="R65" s="13" t="n">
        <v>9000</v>
      </c>
      <c r="S65" s="14"/>
      <c r="T65" s="14"/>
      <c r="U65" s="14"/>
      <c r="V65" s="15" t="str">
        <f aca="false">IF(AND(S65="",T65=""),"",IFERROR(N(S65)*מקרא!$B$10+N(T65)*מקרא!$B$11,""))</f>
        <v/>
      </c>
      <c r="W65" s="12"/>
      <c r="X65" s="12"/>
      <c r="Y65" s="12"/>
      <c r="Z65" s="12"/>
      <c r="AA65" s="12"/>
      <c r="AB65" s="9" t="n">
        <v>31.41443</v>
      </c>
      <c r="AC65" s="9" t="n">
        <v>34.74376</v>
      </c>
      <c r="AD65" s="16" t="s">
        <v>84</v>
      </c>
      <c r="AE65" s="16" t="s">
        <v>77</v>
      </c>
      <c r="AF65" s="12"/>
    </row>
    <row r="66" customFormat="false" ht="15" hidden="false" customHeight="false" outlineLevel="0" collapsed="false">
      <c r="A66" s="9" t="n">
        <v>65</v>
      </c>
      <c r="B66" s="10" t="str">
        <f aca="false">IF(C66="",IF(D66="",I66,"החווה של "&amp;D66),IF(D66="",C66,C66&amp;" - החווה של "&amp;D66))</f>
        <v>שומריה</v>
      </c>
      <c r="C66" s="11"/>
      <c r="D66" s="11"/>
      <c r="E66" s="12"/>
      <c r="F66" s="12"/>
      <c r="G66" s="12"/>
      <c r="H66" s="12"/>
      <c r="I66" s="9" t="s">
        <v>159</v>
      </c>
      <c r="J66" s="9" t="n">
        <v>1265</v>
      </c>
      <c r="K66" s="9" t="s">
        <v>80</v>
      </c>
      <c r="L66" s="9" t="s">
        <v>151</v>
      </c>
      <c r="M66" s="9" t="s">
        <v>82</v>
      </c>
      <c r="N66" s="9" t="s">
        <v>152</v>
      </c>
      <c r="O66" s="12"/>
      <c r="P66" s="12"/>
      <c r="Q66" s="12"/>
      <c r="R66" s="13" t="n">
        <v>9000</v>
      </c>
      <c r="S66" s="14"/>
      <c r="T66" s="14"/>
      <c r="U66" s="14"/>
      <c r="V66" s="15" t="str">
        <f aca="false">IF(AND(S66="",T66=""),"",IFERROR(N(S66)*מקרא!$B$10+N(T66)*מקרא!$B$11,""))</f>
        <v/>
      </c>
      <c r="W66" s="12"/>
      <c r="X66" s="12"/>
      <c r="Y66" s="12"/>
      <c r="Z66" s="12"/>
      <c r="AA66" s="12"/>
      <c r="AB66" s="9" t="n">
        <v>31.43217</v>
      </c>
      <c r="AC66" s="9" t="n">
        <v>34.88367</v>
      </c>
      <c r="AD66" s="16" t="s">
        <v>84</v>
      </c>
      <c r="AE66" s="16" t="s">
        <v>77</v>
      </c>
      <c r="AF66" s="12"/>
    </row>
    <row r="67" customFormat="false" ht="15" hidden="false" customHeight="false" outlineLevel="0" collapsed="false">
      <c r="A67" s="9" t="n">
        <v>66</v>
      </c>
      <c r="B67" s="10" t="str">
        <f aca="false">IF(C67="",IF(D67="",I67,"החווה של "&amp;D67),IF(D67="",C67,C67&amp;" - החווה של "&amp;D67))</f>
        <v>ברוש</v>
      </c>
      <c r="C67" s="11"/>
      <c r="D67" s="11"/>
      <c r="E67" s="12"/>
      <c r="F67" s="12"/>
      <c r="G67" s="12"/>
      <c r="H67" s="12"/>
      <c r="I67" s="9" t="s">
        <v>160</v>
      </c>
      <c r="J67" s="9" t="n">
        <v>2060</v>
      </c>
      <c r="K67" s="9" t="s">
        <v>90</v>
      </c>
      <c r="L67" s="9" t="s">
        <v>151</v>
      </c>
      <c r="M67" s="9" t="s">
        <v>82</v>
      </c>
      <c r="N67" s="9" t="s">
        <v>152</v>
      </c>
      <c r="O67" s="12"/>
      <c r="P67" s="12"/>
      <c r="Q67" s="12"/>
      <c r="R67" s="13" t="n">
        <v>3250</v>
      </c>
      <c r="S67" s="14"/>
      <c r="T67" s="14"/>
      <c r="U67" s="14"/>
      <c r="V67" s="15" t="str">
        <f aca="false">IF(AND(S67="",T67=""),"",IFERROR(N(S67)*מקרא!$B$10+N(T67)*מקרא!$B$11,""))</f>
        <v/>
      </c>
      <c r="W67" s="12"/>
      <c r="X67" s="12"/>
      <c r="Y67" s="12"/>
      <c r="Z67" s="12"/>
      <c r="AA67" s="12"/>
      <c r="AB67" s="9" t="n">
        <v>31.37051</v>
      </c>
      <c r="AC67" s="9" t="n">
        <v>34.63297</v>
      </c>
      <c r="AD67" s="16" t="s">
        <v>84</v>
      </c>
      <c r="AE67" s="16" t="s">
        <v>77</v>
      </c>
      <c r="AF67" s="12"/>
    </row>
    <row r="68" customFormat="false" ht="15" hidden="false" customHeight="false" outlineLevel="0" collapsed="false">
      <c r="A68" s="9" t="n">
        <v>67</v>
      </c>
      <c r="B68" s="10" t="str">
        <f aca="false">IF(C68="",IF(D68="",I68,"החווה של "&amp;D68),IF(D68="",C68,C68&amp;" - החווה של "&amp;D68))</f>
        <v>נבטים</v>
      </c>
      <c r="C68" s="11"/>
      <c r="D68" s="11"/>
      <c r="E68" s="12"/>
      <c r="F68" s="12"/>
      <c r="G68" s="12"/>
      <c r="H68" s="12"/>
      <c r="I68" s="9" t="s">
        <v>161</v>
      </c>
      <c r="J68" s="9" t="n">
        <v>396</v>
      </c>
      <c r="K68" s="9" t="s">
        <v>90</v>
      </c>
      <c r="L68" s="9" t="s">
        <v>151</v>
      </c>
      <c r="M68" s="9" t="s">
        <v>82</v>
      </c>
      <c r="N68" s="9" t="s">
        <v>152</v>
      </c>
      <c r="O68" s="12"/>
      <c r="P68" s="12"/>
      <c r="Q68" s="12"/>
      <c r="R68" s="13" t="n">
        <v>3250</v>
      </c>
      <c r="S68" s="14"/>
      <c r="T68" s="14"/>
      <c r="U68" s="14"/>
      <c r="V68" s="15" t="str">
        <f aca="false">IF(AND(S68="",T68=""),"",IFERROR(N(S68)*מקרא!$B$10+N(T68)*מקרא!$B$11,""))</f>
        <v/>
      </c>
      <c r="W68" s="12"/>
      <c r="X68" s="12"/>
      <c r="Y68" s="12"/>
      <c r="Z68" s="12"/>
      <c r="AA68" s="12"/>
      <c r="AB68" s="9" t="n">
        <v>31.22229</v>
      </c>
      <c r="AC68" s="9" t="n">
        <v>34.8826</v>
      </c>
      <c r="AD68" s="16" t="s">
        <v>84</v>
      </c>
      <c r="AE68" s="16" t="s">
        <v>77</v>
      </c>
      <c r="AF68" s="12"/>
    </row>
    <row r="69" customFormat="false" ht="15" hidden="false" customHeight="false" outlineLevel="0" collapsed="false">
      <c r="A69" s="9" t="n">
        <v>68</v>
      </c>
      <c r="B69" s="10" t="str">
        <f aca="false">IF(C69="",IF(D69="",I69,"החווה של "&amp;D69),IF(D69="",C69,C69&amp;" - החווה של "&amp;D69))</f>
        <v>תאשור</v>
      </c>
      <c r="C69" s="11"/>
      <c r="D69" s="11"/>
      <c r="E69" s="12"/>
      <c r="F69" s="12"/>
      <c r="G69" s="12"/>
      <c r="H69" s="12"/>
      <c r="I69" s="9" t="s">
        <v>162</v>
      </c>
      <c r="J69" s="9" t="n">
        <v>2062</v>
      </c>
      <c r="K69" s="9" t="s">
        <v>90</v>
      </c>
      <c r="L69" s="9" t="s">
        <v>151</v>
      </c>
      <c r="M69" s="9" t="s">
        <v>82</v>
      </c>
      <c r="N69" s="9" t="s">
        <v>152</v>
      </c>
      <c r="O69" s="12"/>
      <c r="P69" s="12"/>
      <c r="Q69" s="12"/>
      <c r="R69" s="13" t="n">
        <v>3250</v>
      </c>
      <c r="S69" s="14"/>
      <c r="T69" s="14"/>
      <c r="U69" s="14"/>
      <c r="V69" s="15" t="str">
        <f aca="false">IF(AND(S69="",T69=""),"",IFERROR(N(S69)*מקרא!$B$10+N(T69)*מקרא!$B$11,""))</f>
        <v/>
      </c>
      <c r="W69" s="12"/>
      <c r="X69" s="12"/>
      <c r="Y69" s="12"/>
      <c r="Z69" s="12"/>
      <c r="AA69" s="12"/>
      <c r="AB69" s="9" t="n">
        <v>31.37182</v>
      </c>
      <c r="AC69" s="9" t="n">
        <v>34.64316</v>
      </c>
      <c r="AD69" s="16" t="s">
        <v>84</v>
      </c>
      <c r="AE69" s="16" t="s">
        <v>77</v>
      </c>
      <c r="AF69" s="12"/>
    </row>
    <row r="70" customFormat="false" ht="15" hidden="false" customHeight="false" outlineLevel="0" collapsed="false">
      <c r="A70" s="9" t="n">
        <v>69</v>
      </c>
      <c r="B70" s="10" t="str">
        <f aca="false">IF(C70="",IF(D70="",I70,"החווה של "&amp;D70),IF(D70="",C70,C70&amp;" - החווה של "&amp;D70))</f>
        <v>תדהר</v>
      </c>
      <c r="C70" s="11"/>
      <c r="D70" s="11"/>
      <c r="E70" s="12"/>
      <c r="F70" s="12"/>
      <c r="G70" s="12"/>
      <c r="H70" s="12"/>
      <c r="I70" s="9" t="s">
        <v>163</v>
      </c>
      <c r="J70" s="9" t="n">
        <v>2061</v>
      </c>
      <c r="K70" s="9" t="s">
        <v>90</v>
      </c>
      <c r="L70" s="9" t="s">
        <v>151</v>
      </c>
      <c r="M70" s="9" t="s">
        <v>82</v>
      </c>
      <c r="N70" s="9" t="s">
        <v>152</v>
      </c>
      <c r="O70" s="12"/>
      <c r="P70" s="12"/>
      <c r="Q70" s="12"/>
      <c r="R70" s="13" t="n">
        <v>3250</v>
      </c>
      <c r="S70" s="14"/>
      <c r="T70" s="14"/>
      <c r="U70" s="14"/>
      <c r="V70" s="15" t="str">
        <f aca="false">IF(AND(S70="",T70=""),"",IFERROR(N(S70)*מקרא!$B$10+N(T70)*מקרא!$B$11,""))</f>
        <v/>
      </c>
      <c r="W70" s="12"/>
      <c r="X70" s="12"/>
      <c r="Y70" s="12"/>
      <c r="Z70" s="12"/>
      <c r="AA70" s="12"/>
      <c r="AB70" s="9" t="n">
        <v>31.37914</v>
      </c>
      <c r="AC70" s="9" t="n">
        <v>34.62735</v>
      </c>
      <c r="AD70" s="16" t="s">
        <v>84</v>
      </c>
      <c r="AE70" s="16" t="s">
        <v>77</v>
      </c>
      <c r="AF70" s="12"/>
    </row>
    <row r="71" customFormat="false" ht="15" hidden="false" customHeight="false" outlineLevel="0" collapsed="false">
      <c r="A71" s="9" t="n">
        <v>70</v>
      </c>
      <c r="B71" s="10" t="str">
        <f aca="false">IF(C71="",IF(D71="",I71,"החווה של "&amp;D71),IF(D71="",C71,C71&amp;" - החווה של "&amp;D71))</f>
        <v>גבעות בר</v>
      </c>
      <c r="C71" s="11"/>
      <c r="D71" s="11"/>
      <c r="E71" s="12"/>
      <c r="F71" s="12"/>
      <c r="G71" s="12"/>
      <c r="H71" s="12"/>
      <c r="I71" s="9" t="s">
        <v>164</v>
      </c>
      <c r="J71" s="9" t="n">
        <v>1344</v>
      </c>
      <c r="K71" s="9" t="s">
        <v>93</v>
      </c>
      <c r="L71" s="9" t="s">
        <v>151</v>
      </c>
      <c r="M71" s="9" t="s">
        <v>82</v>
      </c>
      <c r="N71" s="9" t="s">
        <v>152</v>
      </c>
      <c r="O71" s="12"/>
      <c r="P71" s="12"/>
      <c r="Q71" s="12"/>
      <c r="R71" s="13" t="n">
        <v>700</v>
      </c>
      <c r="S71" s="14"/>
      <c r="T71" s="14"/>
      <c r="U71" s="14"/>
      <c r="V71" s="15" t="str">
        <f aca="false">IF(AND(S71="",T71=""),"",IFERROR(N(S71)*מקרא!$B$10+N(T71)*מקרא!$B$11,""))</f>
        <v/>
      </c>
      <c r="W71" s="12"/>
      <c r="X71" s="12"/>
      <c r="Y71" s="12"/>
      <c r="Z71" s="12"/>
      <c r="AA71" s="12"/>
      <c r="AB71" s="9" t="n">
        <v>31.35648</v>
      </c>
      <c r="AC71" s="9" t="n">
        <v>34.75644</v>
      </c>
      <c r="AD71" s="16" t="s">
        <v>84</v>
      </c>
      <c r="AE71" s="16" t="s">
        <v>77</v>
      </c>
      <c r="AF71" s="12"/>
    </row>
    <row r="72" customFormat="false" ht="15" hidden="false" customHeight="false" outlineLevel="0" collapsed="false">
      <c r="A72" s="9" t="n">
        <v>71</v>
      </c>
      <c r="B72" s="10" t="str">
        <f aca="false">IF(C72="",IF(D72="",I72,"החווה של "&amp;D72),IF(D72="",C72,C72&amp;" - החווה של "&amp;D72))</f>
        <v>סעד</v>
      </c>
      <c r="C72" s="11"/>
      <c r="D72" s="11"/>
      <c r="E72" s="12"/>
      <c r="F72" s="12"/>
      <c r="G72" s="12"/>
      <c r="H72" s="12"/>
      <c r="I72" s="9" t="s">
        <v>165</v>
      </c>
      <c r="J72" s="9" t="n">
        <v>419</v>
      </c>
      <c r="K72" s="9" t="s">
        <v>80</v>
      </c>
      <c r="L72" s="9" t="s">
        <v>166</v>
      </c>
      <c r="M72" s="9" t="s">
        <v>82</v>
      </c>
      <c r="N72" s="9" t="s">
        <v>167</v>
      </c>
      <c r="O72" s="12"/>
      <c r="P72" s="12"/>
      <c r="Q72" s="12"/>
      <c r="R72" s="13" t="n">
        <v>9000</v>
      </c>
      <c r="S72" s="14"/>
      <c r="T72" s="14"/>
      <c r="U72" s="14"/>
      <c r="V72" s="15" t="str">
        <f aca="false">IF(AND(S72="",T72=""),"",IFERROR(N(S72)*מקרא!$B$10+N(T72)*מקרא!$B$11,""))</f>
        <v/>
      </c>
      <c r="W72" s="12"/>
      <c r="X72" s="12"/>
      <c r="Y72" s="12"/>
      <c r="Z72" s="12"/>
      <c r="AA72" s="12"/>
      <c r="AB72" s="9" t="n">
        <v>31.47068</v>
      </c>
      <c r="AC72" s="9" t="n">
        <v>34.5344</v>
      </c>
      <c r="AD72" s="16" t="s">
        <v>84</v>
      </c>
      <c r="AE72" s="16" t="s">
        <v>77</v>
      </c>
      <c r="AF72" s="12"/>
    </row>
    <row r="73" customFormat="false" ht="15" hidden="false" customHeight="false" outlineLevel="0" collapsed="false">
      <c r="A73" s="9" t="n">
        <v>72</v>
      </c>
      <c r="B73" s="10" t="str">
        <f aca="false">IF(C73="",IF(D73="",I73,"החווה של "&amp;D73),IF(D73="",C73,C73&amp;" - החווה של "&amp;D73))</f>
        <v>עלומים</v>
      </c>
      <c r="C73" s="11"/>
      <c r="D73" s="11"/>
      <c r="E73" s="12"/>
      <c r="F73" s="12"/>
      <c r="G73" s="12"/>
      <c r="H73" s="12"/>
      <c r="I73" s="9" t="s">
        <v>168</v>
      </c>
      <c r="J73" s="9" t="n">
        <v>1146</v>
      </c>
      <c r="K73" s="9" t="s">
        <v>80</v>
      </c>
      <c r="L73" s="9" t="s">
        <v>166</v>
      </c>
      <c r="M73" s="9" t="s">
        <v>82</v>
      </c>
      <c r="N73" s="9" t="s">
        <v>167</v>
      </c>
      <c r="O73" s="12"/>
      <c r="P73" s="12"/>
      <c r="Q73" s="12"/>
      <c r="R73" s="13" t="n">
        <v>9000</v>
      </c>
      <c r="S73" s="14"/>
      <c r="T73" s="14"/>
      <c r="U73" s="14"/>
      <c r="V73" s="15" t="str">
        <f aca="false">IF(AND(S73="",T73=""),"",IFERROR(N(S73)*מקרא!$B$10+N(T73)*מקרא!$B$11,""))</f>
        <v/>
      </c>
      <c r="W73" s="12"/>
      <c r="X73" s="12"/>
      <c r="Y73" s="12"/>
      <c r="Z73" s="12"/>
      <c r="AA73" s="12"/>
      <c r="AB73" s="9" t="n">
        <v>31.45226</v>
      </c>
      <c r="AC73" s="9" t="n">
        <v>34.51328</v>
      </c>
      <c r="AD73" s="16" t="s">
        <v>84</v>
      </c>
      <c r="AE73" s="16" t="s">
        <v>77</v>
      </c>
      <c r="AF73" s="12"/>
    </row>
    <row r="74" customFormat="false" ht="15" hidden="false" customHeight="false" outlineLevel="0" collapsed="false">
      <c r="A74" s="9" t="n">
        <v>73</v>
      </c>
      <c r="B74" s="10" t="str">
        <f aca="false">IF(C74="",IF(D74="",I74,"החווה של "&amp;D74),IF(D74="",C74,C74&amp;" - החווה של "&amp;D74))</f>
        <v>בית הגדי</v>
      </c>
      <c r="C74" s="11"/>
      <c r="D74" s="11"/>
      <c r="E74" s="12"/>
      <c r="F74" s="12"/>
      <c r="G74" s="12"/>
      <c r="H74" s="12"/>
      <c r="I74" s="9" t="s">
        <v>169</v>
      </c>
      <c r="J74" s="9" t="n">
        <v>723</v>
      </c>
      <c r="K74" s="9" t="s">
        <v>90</v>
      </c>
      <c r="L74" s="9" t="s">
        <v>166</v>
      </c>
      <c r="M74" s="9" t="s">
        <v>82</v>
      </c>
      <c r="N74" s="9" t="s">
        <v>167</v>
      </c>
      <c r="O74" s="12"/>
      <c r="P74" s="12"/>
      <c r="Q74" s="12"/>
      <c r="R74" s="13" t="n">
        <v>3250</v>
      </c>
      <c r="S74" s="14"/>
      <c r="T74" s="14"/>
      <c r="U74" s="14"/>
      <c r="V74" s="15" t="str">
        <f aca="false">IF(AND(S74="",T74=""),"",IFERROR(N(S74)*מקרא!$B$10+N(T74)*מקרא!$B$11,""))</f>
        <v/>
      </c>
      <c r="W74" s="12"/>
      <c r="X74" s="12"/>
      <c r="Y74" s="12"/>
      <c r="Z74" s="12"/>
      <c r="AA74" s="12"/>
      <c r="AB74" s="9" t="n">
        <v>31.42531</v>
      </c>
      <c r="AC74" s="9" t="n">
        <v>34.60645</v>
      </c>
      <c r="AD74" s="16" t="s">
        <v>84</v>
      </c>
      <c r="AE74" s="16" t="s">
        <v>77</v>
      </c>
      <c r="AF74" s="12"/>
    </row>
    <row r="75" customFormat="false" ht="15" hidden="false" customHeight="false" outlineLevel="0" collapsed="false">
      <c r="A75" s="9" t="n">
        <v>74</v>
      </c>
      <c r="B75" s="10" t="str">
        <f aca="false">IF(C75="",IF(D75="",I75,"החווה של "&amp;D75),IF(D75="",C75,C75&amp;" - החווה של "&amp;D75))</f>
        <v>גבעולים</v>
      </c>
      <c r="C75" s="11"/>
      <c r="D75" s="11"/>
      <c r="E75" s="12"/>
      <c r="F75" s="12"/>
      <c r="G75" s="12"/>
      <c r="H75" s="12"/>
      <c r="I75" s="9" t="s">
        <v>170</v>
      </c>
      <c r="J75" s="9" t="n">
        <v>2014</v>
      </c>
      <c r="K75" s="9" t="s">
        <v>90</v>
      </c>
      <c r="L75" s="9" t="s">
        <v>166</v>
      </c>
      <c r="M75" s="9" t="s">
        <v>82</v>
      </c>
      <c r="N75" s="9" t="s">
        <v>167</v>
      </c>
      <c r="O75" s="12"/>
      <c r="P75" s="12"/>
      <c r="Q75" s="12"/>
      <c r="R75" s="13" t="n">
        <v>3250</v>
      </c>
      <c r="S75" s="14"/>
      <c r="T75" s="14"/>
      <c r="U75" s="14"/>
      <c r="V75" s="15" t="str">
        <f aca="false">IF(AND(S75="",T75=""),"",IFERROR(N(S75)*מקרא!$B$10+N(T75)*מקרא!$B$11,""))</f>
        <v/>
      </c>
      <c r="W75" s="12"/>
      <c r="X75" s="12"/>
      <c r="Y75" s="12"/>
      <c r="Z75" s="12"/>
      <c r="AA75" s="12"/>
      <c r="AB75" s="9" t="n">
        <v>31.39674</v>
      </c>
      <c r="AC75" s="9" t="n">
        <v>34.5915</v>
      </c>
      <c r="AD75" s="16" t="s">
        <v>84</v>
      </c>
      <c r="AE75" s="16" t="s">
        <v>77</v>
      </c>
      <c r="AF75" s="12"/>
    </row>
    <row r="76" customFormat="false" ht="15" hidden="false" customHeight="false" outlineLevel="0" collapsed="false">
      <c r="A76" s="9" t="n">
        <v>75</v>
      </c>
      <c r="B76" s="10" t="str">
        <f aca="false">IF(C76="",IF(D76="",I76,"החווה של "&amp;D76),IF(D76="",C76,C76&amp;" - החווה של "&amp;D76))</f>
        <v>זמרת</v>
      </c>
      <c r="C76" s="11"/>
      <c r="D76" s="11"/>
      <c r="E76" s="12"/>
      <c r="F76" s="12"/>
      <c r="G76" s="12"/>
      <c r="H76" s="12"/>
      <c r="I76" s="9" t="s">
        <v>171</v>
      </c>
      <c r="J76" s="9" t="n">
        <v>1065</v>
      </c>
      <c r="K76" s="9" t="s">
        <v>90</v>
      </c>
      <c r="L76" s="9" t="s">
        <v>166</v>
      </c>
      <c r="M76" s="9" t="s">
        <v>82</v>
      </c>
      <c r="N76" s="9" t="s">
        <v>167</v>
      </c>
      <c r="O76" s="12"/>
      <c r="P76" s="12"/>
      <c r="Q76" s="12"/>
      <c r="R76" s="13" t="n">
        <v>3250</v>
      </c>
      <c r="S76" s="14"/>
      <c r="T76" s="14"/>
      <c r="U76" s="14"/>
      <c r="V76" s="15" t="str">
        <f aca="false">IF(AND(S76="",T76=""),"",IFERROR(N(S76)*מקרא!$B$10+N(T76)*מקרא!$B$11,""))</f>
        <v/>
      </c>
      <c r="W76" s="12"/>
      <c r="X76" s="12"/>
      <c r="Y76" s="12"/>
      <c r="Z76" s="12"/>
      <c r="AA76" s="12"/>
      <c r="AB76" s="9" t="n">
        <v>31.44796</v>
      </c>
      <c r="AC76" s="9" t="n">
        <v>34.55255</v>
      </c>
      <c r="AD76" s="16" t="s">
        <v>84</v>
      </c>
      <c r="AE76" s="16" t="s">
        <v>77</v>
      </c>
      <c r="AF76" s="12"/>
    </row>
    <row r="77" customFormat="false" ht="15" hidden="false" customHeight="false" outlineLevel="0" collapsed="false">
      <c r="A77" s="9" t="n">
        <v>76</v>
      </c>
      <c r="B77" s="10" t="str">
        <f aca="false">IF(C77="",IF(D77="",I77,"החווה של "&amp;D77),IF(D77="",C77,C77&amp;" - החווה של "&amp;D77))</f>
        <v>זרועה</v>
      </c>
      <c r="C77" s="11"/>
      <c r="D77" s="11"/>
      <c r="E77" s="12"/>
      <c r="F77" s="12"/>
      <c r="G77" s="12"/>
      <c r="H77" s="12"/>
      <c r="I77" s="9" t="s">
        <v>172</v>
      </c>
      <c r="J77" s="9" t="n">
        <v>2064</v>
      </c>
      <c r="K77" s="9" t="s">
        <v>90</v>
      </c>
      <c r="L77" s="9" t="s">
        <v>166</v>
      </c>
      <c r="M77" s="9" t="s">
        <v>82</v>
      </c>
      <c r="N77" s="9" t="s">
        <v>167</v>
      </c>
      <c r="O77" s="12"/>
      <c r="P77" s="12"/>
      <c r="Q77" s="12"/>
      <c r="R77" s="13" t="n">
        <v>3250</v>
      </c>
      <c r="S77" s="14"/>
      <c r="T77" s="14"/>
      <c r="U77" s="14"/>
      <c r="V77" s="15" t="str">
        <f aca="false">IF(AND(S77="",T77=""),"",IFERROR(N(S77)*מקרא!$B$10+N(T77)*מקרא!$B$11,""))</f>
        <v/>
      </c>
      <c r="W77" s="12"/>
      <c r="X77" s="12"/>
      <c r="Y77" s="12"/>
      <c r="Z77" s="12"/>
      <c r="AA77" s="12"/>
      <c r="AB77" s="9" t="n">
        <v>31.45849</v>
      </c>
      <c r="AC77" s="9" t="n">
        <v>34.62402</v>
      </c>
      <c r="AD77" s="16" t="s">
        <v>84</v>
      </c>
      <c r="AE77" s="16" t="s">
        <v>77</v>
      </c>
      <c r="AF77" s="12"/>
    </row>
    <row r="78" customFormat="false" ht="15" hidden="false" customHeight="false" outlineLevel="0" collapsed="false">
      <c r="A78" s="9" t="n">
        <v>77</v>
      </c>
      <c r="B78" s="10" t="str">
        <f aca="false">IF(C78="",IF(D78="",I78,"החווה של "&amp;D78),IF(D78="",C78,C78&amp;" - החווה של "&amp;D78))</f>
        <v>יושיביה</v>
      </c>
      <c r="C78" s="11"/>
      <c r="D78" s="11"/>
      <c r="E78" s="12"/>
      <c r="F78" s="12"/>
      <c r="G78" s="12"/>
      <c r="H78" s="12"/>
      <c r="I78" s="9" t="s">
        <v>173</v>
      </c>
      <c r="J78" s="9" t="n">
        <v>803</v>
      </c>
      <c r="K78" s="9" t="s">
        <v>90</v>
      </c>
      <c r="L78" s="9" t="s">
        <v>166</v>
      </c>
      <c r="M78" s="9" t="s">
        <v>82</v>
      </c>
      <c r="N78" s="9" t="s">
        <v>167</v>
      </c>
      <c r="O78" s="12"/>
      <c r="P78" s="12"/>
      <c r="Q78" s="12"/>
      <c r="R78" s="13" t="n">
        <v>3250</v>
      </c>
      <c r="S78" s="14"/>
      <c r="T78" s="14"/>
      <c r="U78" s="14"/>
      <c r="V78" s="15" t="str">
        <f aca="false">IF(AND(S78="",T78=""),"",IFERROR(N(S78)*מקרא!$B$10+N(T78)*מקרא!$B$11,""))</f>
        <v/>
      </c>
      <c r="W78" s="12"/>
      <c r="X78" s="12"/>
      <c r="Y78" s="12"/>
      <c r="Z78" s="12"/>
      <c r="AA78" s="12"/>
      <c r="AB78" s="9" t="n">
        <v>31.44372</v>
      </c>
      <c r="AC78" s="9" t="n">
        <v>34.60918</v>
      </c>
      <c r="AD78" s="16" t="s">
        <v>84</v>
      </c>
      <c r="AE78" s="16" t="s">
        <v>77</v>
      </c>
      <c r="AF78" s="12"/>
    </row>
    <row r="79" customFormat="false" ht="15" hidden="false" customHeight="false" outlineLevel="0" collapsed="false">
      <c r="A79" s="9" t="n">
        <v>78</v>
      </c>
      <c r="B79" s="10" t="str">
        <f aca="false">IF(C79="",IF(D79="",I79,"החווה של "&amp;D79),IF(D79="",C79,C79&amp;" - החווה של "&amp;D79))</f>
        <v>כפר מימון</v>
      </c>
      <c r="C79" s="11"/>
      <c r="D79" s="11"/>
      <c r="E79" s="12"/>
      <c r="F79" s="12"/>
      <c r="G79" s="12"/>
      <c r="H79" s="12"/>
      <c r="I79" s="9" t="s">
        <v>174</v>
      </c>
      <c r="J79" s="9" t="n">
        <v>1095</v>
      </c>
      <c r="K79" s="9" t="s">
        <v>90</v>
      </c>
      <c r="L79" s="9" t="s">
        <v>166</v>
      </c>
      <c r="M79" s="9" t="s">
        <v>82</v>
      </c>
      <c r="N79" s="9" t="s">
        <v>167</v>
      </c>
      <c r="O79" s="12"/>
      <c r="P79" s="12"/>
      <c r="Q79" s="12"/>
      <c r="R79" s="13" t="n">
        <v>3250</v>
      </c>
      <c r="S79" s="14"/>
      <c r="T79" s="14"/>
      <c r="U79" s="14"/>
      <c r="V79" s="15" t="str">
        <f aca="false">IF(AND(S79="",T79=""),"",IFERROR(N(S79)*מקרא!$B$10+N(T79)*מקרא!$B$11,""))</f>
        <v/>
      </c>
      <c r="W79" s="12"/>
      <c r="X79" s="12"/>
      <c r="Y79" s="12"/>
      <c r="Z79" s="12"/>
      <c r="AA79" s="12"/>
      <c r="AB79" s="9" t="n">
        <v>31.43218</v>
      </c>
      <c r="AC79" s="9" t="n">
        <v>34.53583</v>
      </c>
      <c r="AD79" s="16" t="s">
        <v>84</v>
      </c>
      <c r="AE79" s="16" t="s">
        <v>77</v>
      </c>
      <c r="AF79" s="12"/>
    </row>
    <row r="80" customFormat="false" ht="15" hidden="false" customHeight="false" outlineLevel="0" collapsed="false">
      <c r="A80" s="9" t="n">
        <v>79</v>
      </c>
      <c r="B80" s="10" t="str">
        <f aca="false">IF(C80="",IF(D80="",I80,"החווה של "&amp;D80),IF(D80="",C80,C80&amp;" - החווה של "&amp;D80))</f>
        <v>מלילות</v>
      </c>
      <c r="C80" s="11"/>
      <c r="D80" s="11"/>
      <c r="E80" s="12"/>
      <c r="F80" s="12"/>
      <c r="G80" s="12"/>
      <c r="H80" s="12"/>
      <c r="I80" s="9" t="s">
        <v>175</v>
      </c>
      <c r="J80" s="9" t="n">
        <v>2044</v>
      </c>
      <c r="K80" s="9" t="s">
        <v>90</v>
      </c>
      <c r="L80" s="9" t="s">
        <v>166</v>
      </c>
      <c r="M80" s="9" t="s">
        <v>82</v>
      </c>
      <c r="N80" s="9" t="s">
        <v>167</v>
      </c>
      <c r="O80" s="12"/>
      <c r="P80" s="12"/>
      <c r="Q80" s="12"/>
      <c r="R80" s="13" t="n">
        <v>3250</v>
      </c>
      <c r="S80" s="14"/>
      <c r="T80" s="14"/>
      <c r="U80" s="14"/>
      <c r="V80" s="15" t="str">
        <f aca="false">IF(AND(S80="",T80=""),"",IFERROR(N(S80)*מקרא!$B$10+N(T80)*מקרא!$B$11,""))</f>
        <v/>
      </c>
      <c r="W80" s="12"/>
      <c r="X80" s="12"/>
      <c r="Y80" s="12"/>
      <c r="Z80" s="12"/>
      <c r="AA80" s="12"/>
      <c r="AB80" s="9" t="n">
        <v>31.38946</v>
      </c>
      <c r="AC80" s="9" t="n">
        <v>34.59522</v>
      </c>
      <c r="AD80" s="16" t="s">
        <v>84</v>
      </c>
      <c r="AE80" s="16" t="s">
        <v>77</v>
      </c>
      <c r="AF80" s="12"/>
    </row>
    <row r="81" customFormat="false" ht="15" hidden="false" customHeight="false" outlineLevel="0" collapsed="false">
      <c r="A81" s="9" t="n">
        <v>80</v>
      </c>
      <c r="B81" s="10" t="str">
        <f aca="false">IF(C81="",IF(D81="",I81,"החווה של "&amp;D81),IF(D81="",C81,C81&amp;" - החווה של "&amp;D81))</f>
        <v>שבולים</v>
      </c>
      <c r="C81" s="11"/>
      <c r="D81" s="11"/>
      <c r="E81" s="12"/>
      <c r="F81" s="12"/>
      <c r="G81" s="12"/>
      <c r="H81" s="12"/>
      <c r="I81" s="9" t="s">
        <v>176</v>
      </c>
      <c r="J81" s="9" t="n">
        <v>865</v>
      </c>
      <c r="K81" s="9" t="s">
        <v>90</v>
      </c>
      <c r="L81" s="9" t="s">
        <v>166</v>
      </c>
      <c r="M81" s="9" t="s">
        <v>82</v>
      </c>
      <c r="N81" s="9" t="s">
        <v>167</v>
      </c>
      <c r="O81" s="12"/>
      <c r="P81" s="12"/>
      <c r="Q81" s="12"/>
      <c r="R81" s="13" t="n">
        <v>3250</v>
      </c>
      <c r="S81" s="14"/>
      <c r="T81" s="14"/>
      <c r="U81" s="14"/>
      <c r="V81" s="15" t="str">
        <f aca="false">IF(AND(S81="",T81=""),"",IFERROR(N(S81)*מקרא!$B$10+N(T81)*מקרא!$B$11,""))</f>
        <v/>
      </c>
      <c r="W81" s="12"/>
      <c r="X81" s="12"/>
      <c r="Y81" s="12"/>
      <c r="Z81" s="12"/>
      <c r="AA81" s="12"/>
      <c r="AB81" s="9" t="n">
        <v>31.39565</v>
      </c>
      <c r="AC81" s="9" t="n">
        <v>34.60748</v>
      </c>
      <c r="AD81" s="16" t="s">
        <v>84</v>
      </c>
      <c r="AE81" s="16" t="s">
        <v>77</v>
      </c>
      <c r="AF81" s="12"/>
    </row>
    <row r="82" customFormat="false" ht="15" hidden="false" customHeight="false" outlineLevel="0" collapsed="false">
      <c r="A82" s="9" t="n">
        <v>81</v>
      </c>
      <c r="B82" s="10" t="str">
        <f aca="false">IF(C82="",IF(D82="",I82,"החווה של "&amp;D82),IF(D82="",C82,C82&amp;" - החווה של "&amp;D82))</f>
        <v>שובה</v>
      </c>
      <c r="C82" s="11"/>
      <c r="D82" s="11"/>
      <c r="E82" s="12"/>
      <c r="F82" s="12"/>
      <c r="G82" s="12"/>
      <c r="H82" s="12"/>
      <c r="I82" s="9" t="s">
        <v>177</v>
      </c>
      <c r="J82" s="9" t="n">
        <v>761</v>
      </c>
      <c r="K82" s="9" t="s">
        <v>90</v>
      </c>
      <c r="L82" s="9" t="s">
        <v>166</v>
      </c>
      <c r="M82" s="9" t="s">
        <v>82</v>
      </c>
      <c r="N82" s="9" t="s">
        <v>167</v>
      </c>
      <c r="O82" s="12"/>
      <c r="P82" s="12"/>
      <c r="Q82" s="12"/>
      <c r="R82" s="13" t="n">
        <v>3250</v>
      </c>
      <c r="S82" s="14"/>
      <c r="T82" s="14"/>
      <c r="U82" s="14"/>
      <c r="V82" s="15" t="str">
        <f aca="false">IF(AND(S82="",T82=""),"",IFERROR(N(S82)*מקרא!$B$10+N(T82)*מקרא!$B$11,""))</f>
        <v/>
      </c>
      <c r="W82" s="12"/>
      <c r="X82" s="12"/>
      <c r="Y82" s="12"/>
      <c r="Z82" s="12"/>
      <c r="AA82" s="12"/>
      <c r="AB82" s="9" t="n">
        <v>31.4517</v>
      </c>
      <c r="AC82" s="9" t="n">
        <v>34.54411</v>
      </c>
      <c r="AD82" s="16" t="s">
        <v>84</v>
      </c>
      <c r="AE82" s="16" t="s">
        <v>77</v>
      </c>
      <c r="AF82" s="12"/>
    </row>
    <row r="83" customFormat="false" ht="15" hidden="false" customHeight="false" outlineLevel="0" collapsed="false">
      <c r="A83" s="9" t="n">
        <v>82</v>
      </c>
      <c r="B83" s="10" t="str">
        <f aca="false">IF(C83="",IF(D83="",I83,"החווה של "&amp;D83),IF(D83="",C83,C83&amp;" - החווה של "&amp;D83))</f>
        <v>שוקדה</v>
      </c>
      <c r="C83" s="11"/>
      <c r="D83" s="11"/>
      <c r="E83" s="12"/>
      <c r="F83" s="12"/>
      <c r="G83" s="12"/>
      <c r="H83" s="12"/>
      <c r="I83" s="9" t="s">
        <v>178</v>
      </c>
      <c r="J83" s="9" t="n">
        <v>415</v>
      </c>
      <c r="K83" s="9" t="s">
        <v>90</v>
      </c>
      <c r="L83" s="9" t="s">
        <v>166</v>
      </c>
      <c r="M83" s="9" t="s">
        <v>82</v>
      </c>
      <c r="N83" s="9" t="s">
        <v>167</v>
      </c>
      <c r="O83" s="12"/>
      <c r="P83" s="12"/>
      <c r="Q83" s="12"/>
      <c r="R83" s="13" t="n">
        <v>3250</v>
      </c>
      <c r="S83" s="14"/>
      <c r="T83" s="14"/>
      <c r="U83" s="14"/>
      <c r="V83" s="15" t="str">
        <f aca="false">IF(AND(S83="",T83=""),"",IFERROR(N(S83)*מקרא!$B$10+N(T83)*מקרא!$B$11,""))</f>
        <v/>
      </c>
      <c r="W83" s="12"/>
      <c r="X83" s="12"/>
      <c r="Y83" s="12"/>
      <c r="Z83" s="12"/>
      <c r="AA83" s="12"/>
      <c r="AB83" s="9" t="n">
        <v>31.42193</v>
      </c>
      <c r="AC83" s="9" t="n">
        <v>34.52465</v>
      </c>
      <c r="AD83" s="16" t="s">
        <v>84</v>
      </c>
      <c r="AE83" s="16" t="s">
        <v>77</v>
      </c>
      <c r="AF83" s="12"/>
    </row>
    <row r="84" customFormat="false" ht="15" hidden="false" customHeight="false" outlineLevel="0" collapsed="false">
      <c r="A84" s="9" t="n">
        <v>83</v>
      </c>
      <c r="B84" s="10" t="str">
        <f aca="false">IF(C84="",IF(D84="",I84,"החווה של "&amp;D84),IF(D84="",C84,C84&amp;" - החווה של "&amp;D84))</f>
        <v>שרשרת</v>
      </c>
      <c r="C84" s="11"/>
      <c r="D84" s="11"/>
      <c r="E84" s="12"/>
      <c r="F84" s="12"/>
      <c r="G84" s="12"/>
      <c r="H84" s="12"/>
      <c r="I84" s="9" t="s">
        <v>179</v>
      </c>
      <c r="J84" s="9" t="n">
        <v>398</v>
      </c>
      <c r="K84" s="9" t="s">
        <v>90</v>
      </c>
      <c r="L84" s="9" t="s">
        <v>166</v>
      </c>
      <c r="M84" s="9" t="s">
        <v>82</v>
      </c>
      <c r="N84" s="9" t="s">
        <v>167</v>
      </c>
      <c r="O84" s="12"/>
      <c r="P84" s="12"/>
      <c r="Q84" s="12"/>
      <c r="R84" s="13" t="n">
        <v>3250</v>
      </c>
      <c r="S84" s="14"/>
      <c r="T84" s="14"/>
      <c r="U84" s="14"/>
      <c r="V84" s="15" t="str">
        <f aca="false">IF(AND(S84="",T84=""),"",IFERROR(N(S84)*מקרא!$B$10+N(T84)*מקרא!$B$11,""))</f>
        <v/>
      </c>
      <c r="W84" s="12"/>
      <c r="X84" s="12"/>
      <c r="Y84" s="12"/>
      <c r="Z84" s="12"/>
      <c r="AA84" s="12"/>
      <c r="AB84" s="9" t="n">
        <v>31.40446</v>
      </c>
      <c r="AC84" s="9" t="n">
        <v>34.60291</v>
      </c>
      <c r="AD84" s="16" t="s">
        <v>84</v>
      </c>
      <c r="AE84" s="16" t="s">
        <v>77</v>
      </c>
      <c r="AF84" s="12"/>
    </row>
    <row r="85" customFormat="false" ht="15" hidden="false" customHeight="false" outlineLevel="0" collapsed="false">
      <c r="A85" s="9" t="n">
        <v>84</v>
      </c>
      <c r="B85" s="10" t="str">
        <f aca="false">IF(C85="",IF(D85="",I85,"החווה של "&amp;D85),IF(D85="",C85,C85&amp;" - החווה של "&amp;D85))</f>
        <v>תקומה</v>
      </c>
      <c r="C85" s="11"/>
      <c r="D85" s="11"/>
      <c r="E85" s="12"/>
      <c r="F85" s="12"/>
      <c r="G85" s="12"/>
      <c r="H85" s="12"/>
      <c r="I85" s="9" t="s">
        <v>180</v>
      </c>
      <c r="J85" s="9" t="n">
        <v>665</v>
      </c>
      <c r="K85" s="9" t="s">
        <v>90</v>
      </c>
      <c r="L85" s="9" t="s">
        <v>166</v>
      </c>
      <c r="M85" s="9" t="s">
        <v>82</v>
      </c>
      <c r="N85" s="9" t="s">
        <v>167</v>
      </c>
      <c r="O85" s="12"/>
      <c r="P85" s="12"/>
      <c r="Q85" s="12"/>
      <c r="R85" s="13" t="n">
        <v>3250</v>
      </c>
      <c r="S85" s="14"/>
      <c r="T85" s="14"/>
      <c r="U85" s="14"/>
      <c r="V85" s="15" t="str">
        <f aca="false">IF(AND(S85="",T85=""),"",IFERROR(N(S85)*מקרא!$B$10+N(T85)*מקרא!$B$11,""))</f>
        <v/>
      </c>
      <c r="W85" s="12"/>
      <c r="X85" s="12"/>
      <c r="Y85" s="12"/>
      <c r="Z85" s="12"/>
      <c r="AA85" s="12"/>
      <c r="AB85" s="9" t="n">
        <v>31.45089</v>
      </c>
      <c r="AC85" s="9" t="n">
        <v>34.57926</v>
      </c>
      <c r="AD85" s="16" t="s">
        <v>84</v>
      </c>
      <c r="AE85" s="16" t="s">
        <v>77</v>
      </c>
      <c r="AF85" s="12"/>
    </row>
    <row r="86" customFormat="false" ht="15" hidden="false" customHeight="false" outlineLevel="0" collapsed="false">
      <c r="A86" s="9" t="n">
        <v>85</v>
      </c>
      <c r="B86" s="10" t="str">
        <f aca="false">IF(C86="",IF(D86="",I86,"החווה של "&amp;D86),IF(D86="",C86,C86&amp;" - החווה של "&amp;D86))</f>
        <v>מעגלים</v>
      </c>
      <c r="C86" s="11"/>
      <c r="D86" s="11"/>
      <c r="E86" s="12"/>
      <c r="F86" s="12"/>
      <c r="G86" s="12"/>
      <c r="H86" s="12"/>
      <c r="I86" s="9" t="s">
        <v>181</v>
      </c>
      <c r="J86" s="9" t="n">
        <v>1082</v>
      </c>
      <c r="K86" s="9" t="s">
        <v>93</v>
      </c>
      <c r="L86" s="9" t="s">
        <v>166</v>
      </c>
      <c r="M86" s="9" t="s">
        <v>82</v>
      </c>
      <c r="N86" s="9" t="s">
        <v>167</v>
      </c>
      <c r="O86" s="12"/>
      <c r="P86" s="12"/>
      <c r="Q86" s="12"/>
      <c r="R86" s="13" t="n">
        <v>700</v>
      </c>
      <c r="S86" s="14"/>
      <c r="T86" s="14"/>
      <c r="U86" s="14"/>
      <c r="V86" s="15" t="str">
        <f aca="false">IF(AND(S86="",T86=""),"",IFERROR(N(S86)*מקרא!$B$10+N(T86)*מקרא!$B$11,""))</f>
        <v/>
      </c>
      <c r="W86" s="12"/>
      <c r="X86" s="12"/>
      <c r="Y86" s="12"/>
      <c r="Z86" s="12"/>
      <c r="AA86" s="12"/>
      <c r="AB86" s="9" t="n">
        <v>31.39669</v>
      </c>
      <c r="AC86" s="9" t="n">
        <v>34.59854</v>
      </c>
      <c r="AD86" s="16" t="s">
        <v>84</v>
      </c>
      <c r="AE86" s="16" t="s">
        <v>77</v>
      </c>
      <c r="AF86" s="12"/>
    </row>
    <row r="87" customFormat="false" ht="15" hidden="false" customHeight="false" outlineLevel="0" collapsed="false">
      <c r="A87" s="9" t="n">
        <v>86</v>
      </c>
      <c r="B87" s="10" t="str">
        <f aca="false">IF(C87="",IF(D87="",I87,"החווה של "&amp;D87),IF(D87="",C87,C87&amp;" - החווה של "&amp;D87))</f>
        <v>תושיה</v>
      </c>
      <c r="C87" s="11"/>
      <c r="D87" s="11"/>
      <c r="E87" s="12"/>
      <c r="F87" s="12"/>
      <c r="G87" s="12"/>
      <c r="H87" s="12"/>
      <c r="I87" s="9" t="s">
        <v>182</v>
      </c>
      <c r="J87" s="9" t="n">
        <v>1083</v>
      </c>
      <c r="K87" s="9" t="s">
        <v>93</v>
      </c>
      <c r="L87" s="9" t="s">
        <v>166</v>
      </c>
      <c r="M87" s="9" t="s">
        <v>82</v>
      </c>
      <c r="N87" s="9" t="s">
        <v>167</v>
      </c>
      <c r="O87" s="12"/>
      <c r="P87" s="12"/>
      <c r="Q87" s="12"/>
      <c r="R87" s="13" t="n">
        <v>700</v>
      </c>
      <c r="S87" s="14"/>
      <c r="T87" s="14"/>
      <c r="U87" s="14"/>
      <c r="V87" s="15" t="str">
        <f aca="false">IF(AND(S87="",T87=""),"",IFERROR(N(S87)*מקרא!$B$10+N(T87)*מקרא!$B$11,""))</f>
        <v/>
      </c>
      <c r="W87" s="12"/>
      <c r="X87" s="12"/>
      <c r="Y87" s="12"/>
      <c r="Z87" s="12"/>
      <c r="AA87" s="12"/>
      <c r="AB87" s="9" t="n">
        <v>31.43374</v>
      </c>
      <c r="AC87" s="9" t="n">
        <v>34.54087</v>
      </c>
      <c r="AD87" s="16" t="s">
        <v>84</v>
      </c>
      <c r="AE87" s="16" t="s">
        <v>77</v>
      </c>
      <c r="AF87" s="12"/>
    </row>
    <row r="88" customFormat="false" ht="15" hidden="false" customHeight="false" outlineLevel="0" collapsed="false">
      <c r="A88" s="9" t="n">
        <v>87</v>
      </c>
      <c r="B88" s="10" t="str">
        <f aca="false">IF(C88="",IF(D88="",I88,"החווה של "&amp;D88),IF(D88="",C88,C88&amp;" - החווה של "&amp;D88))</f>
        <v>אור הנר</v>
      </c>
      <c r="C88" s="11"/>
      <c r="D88" s="11"/>
      <c r="E88" s="12"/>
      <c r="F88" s="12"/>
      <c r="G88" s="12"/>
      <c r="H88" s="12"/>
      <c r="I88" s="9" t="s">
        <v>183</v>
      </c>
      <c r="J88" s="9" t="n">
        <v>67</v>
      </c>
      <c r="K88" s="9" t="s">
        <v>80</v>
      </c>
      <c r="L88" s="9" t="s">
        <v>184</v>
      </c>
      <c r="M88" s="9" t="s">
        <v>82</v>
      </c>
      <c r="N88" s="9" t="s">
        <v>185</v>
      </c>
      <c r="O88" s="12"/>
      <c r="P88" s="12"/>
      <c r="Q88" s="12"/>
      <c r="R88" s="13" t="n">
        <v>9000</v>
      </c>
      <c r="S88" s="14"/>
      <c r="T88" s="14"/>
      <c r="U88" s="14"/>
      <c r="V88" s="15" t="str">
        <f aca="false">IF(AND(S88="",T88=""),"",IFERROR(N(S88)*מקרא!$B$10+N(T88)*מקרא!$B$11,""))</f>
        <v/>
      </c>
      <c r="W88" s="12"/>
      <c r="X88" s="12"/>
      <c r="Y88" s="12"/>
      <c r="Z88" s="12"/>
      <c r="AA88" s="12"/>
      <c r="AB88" s="9" t="n">
        <v>31.55704</v>
      </c>
      <c r="AC88" s="9" t="n">
        <v>34.59951</v>
      </c>
      <c r="AD88" s="16" t="s">
        <v>84</v>
      </c>
      <c r="AE88" s="16" t="s">
        <v>77</v>
      </c>
      <c r="AF88" s="12" t="s">
        <v>101</v>
      </c>
    </row>
    <row r="89" customFormat="false" ht="15" hidden="false" customHeight="false" outlineLevel="0" collapsed="false">
      <c r="A89" s="9" t="n">
        <v>88</v>
      </c>
      <c r="B89" s="10" t="str">
        <f aca="false">IF(C89="",IF(D89="",I89,"החווה של "&amp;D89),IF(D89="",C89,C89&amp;" - החווה של "&amp;D89))</f>
        <v>ארז</v>
      </c>
      <c r="C89" s="11"/>
      <c r="D89" s="11"/>
      <c r="E89" s="12"/>
      <c r="F89" s="12"/>
      <c r="G89" s="12"/>
      <c r="H89" s="12"/>
      <c r="I89" s="9" t="s">
        <v>186</v>
      </c>
      <c r="J89" s="9" t="n">
        <v>714</v>
      </c>
      <c r="K89" s="9" t="s">
        <v>80</v>
      </c>
      <c r="L89" s="9" t="s">
        <v>184</v>
      </c>
      <c r="M89" s="9" t="s">
        <v>82</v>
      </c>
      <c r="N89" s="9" t="s">
        <v>185</v>
      </c>
      <c r="O89" s="12"/>
      <c r="P89" s="12"/>
      <c r="Q89" s="12"/>
      <c r="R89" s="13" t="n">
        <v>9000</v>
      </c>
      <c r="S89" s="14"/>
      <c r="T89" s="14"/>
      <c r="U89" s="14"/>
      <c r="V89" s="15" t="str">
        <f aca="false">IF(AND(S89="",T89=""),"",IFERROR(N(S89)*מקרא!$B$10+N(T89)*מקרא!$B$11,""))</f>
        <v/>
      </c>
      <c r="W89" s="12"/>
      <c r="X89" s="12"/>
      <c r="Y89" s="12"/>
      <c r="Z89" s="12"/>
      <c r="AA89" s="12"/>
      <c r="AB89" s="9" t="n">
        <v>31.56022</v>
      </c>
      <c r="AC89" s="9" t="n">
        <v>34.56642</v>
      </c>
      <c r="AD89" s="16" t="s">
        <v>84</v>
      </c>
      <c r="AE89" s="16" t="s">
        <v>77</v>
      </c>
      <c r="AF89" s="12" t="s">
        <v>101</v>
      </c>
    </row>
    <row r="90" customFormat="false" ht="15" hidden="false" customHeight="false" outlineLevel="0" collapsed="false">
      <c r="A90" s="9" t="n">
        <v>89</v>
      </c>
      <c r="B90" s="10" t="str">
        <f aca="false">IF(C90="",IF(D90="",I90,"החווה של "&amp;D90),IF(D90="",C90,C90&amp;" - החווה של "&amp;D90))</f>
        <v>ברור חיל</v>
      </c>
      <c r="C90" s="11"/>
      <c r="D90" s="11"/>
      <c r="E90" s="12"/>
      <c r="F90" s="12"/>
      <c r="G90" s="12"/>
      <c r="H90" s="12"/>
      <c r="I90" s="9" t="s">
        <v>187</v>
      </c>
      <c r="J90" s="9" t="n">
        <v>428</v>
      </c>
      <c r="K90" s="9" t="s">
        <v>80</v>
      </c>
      <c r="L90" s="9" t="s">
        <v>184</v>
      </c>
      <c r="M90" s="9" t="s">
        <v>82</v>
      </c>
      <c r="N90" s="9" t="s">
        <v>185</v>
      </c>
      <c r="O90" s="12"/>
      <c r="P90" s="12"/>
      <c r="Q90" s="12"/>
      <c r="R90" s="13" t="n">
        <v>9000</v>
      </c>
      <c r="S90" s="14"/>
      <c r="T90" s="14"/>
      <c r="U90" s="14"/>
      <c r="V90" s="15" t="str">
        <f aca="false">IF(AND(S90="",T90=""),"",IFERROR(N(S90)*מקרא!$B$10+N(T90)*מקרא!$B$11,""))</f>
        <v/>
      </c>
      <c r="W90" s="12"/>
      <c r="X90" s="12"/>
      <c r="Y90" s="12"/>
      <c r="Z90" s="12"/>
      <c r="AA90" s="12"/>
      <c r="AB90" s="9" t="n">
        <v>31.5578</v>
      </c>
      <c r="AC90" s="9" t="n">
        <v>34.64669</v>
      </c>
      <c r="AD90" s="16" t="s">
        <v>84</v>
      </c>
      <c r="AE90" s="16" t="s">
        <v>77</v>
      </c>
      <c r="AF90" s="12" t="s">
        <v>101</v>
      </c>
    </row>
    <row r="91" customFormat="false" ht="15" hidden="false" customHeight="false" outlineLevel="0" collapsed="false">
      <c r="A91" s="9" t="n">
        <v>90</v>
      </c>
      <c r="B91" s="10" t="str">
        <f aca="false">IF(C91="",IF(D91="",I91,"החווה של "&amp;D91),IF(D91="",C91,C91&amp;" - החווה של "&amp;D91))</f>
        <v>גבים</v>
      </c>
      <c r="C91" s="11"/>
      <c r="D91" s="11"/>
      <c r="E91" s="12"/>
      <c r="F91" s="12"/>
      <c r="G91" s="12"/>
      <c r="H91" s="12"/>
      <c r="I91" s="9" t="s">
        <v>188</v>
      </c>
      <c r="J91" s="9" t="n">
        <v>424</v>
      </c>
      <c r="K91" s="9" t="s">
        <v>80</v>
      </c>
      <c r="L91" s="9" t="s">
        <v>184</v>
      </c>
      <c r="M91" s="9" t="s">
        <v>82</v>
      </c>
      <c r="N91" s="9" t="s">
        <v>185</v>
      </c>
      <c r="O91" s="12"/>
      <c r="P91" s="12"/>
      <c r="Q91" s="12"/>
      <c r="R91" s="13" t="n">
        <v>9000</v>
      </c>
      <c r="S91" s="14"/>
      <c r="T91" s="14"/>
      <c r="U91" s="14"/>
      <c r="V91" s="15" t="str">
        <f aca="false">IF(AND(S91="",T91=""),"",IFERROR(N(S91)*מקרא!$B$10+N(T91)*מקרא!$B$11,""))</f>
        <v/>
      </c>
      <c r="W91" s="12"/>
      <c r="X91" s="12"/>
      <c r="Y91" s="12"/>
      <c r="Z91" s="12"/>
      <c r="AA91" s="12"/>
      <c r="AB91" s="9" t="n">
        <v>31.50688</v>
      </c>
      <c r="AC91" s="9" t="n">
        <v>34.59646</v>
      </c>
      <c r="AD91" s="16" t="s">
        <v>84</v>
      </c>
      <c r="AE91" s="16" t="s">
        <v>77</v>
      </c>
      <c r="AF91" s="12" t="s">
        <v>101</v>
      </c>
    </row>
    <row r="92" customFormat="false" ht="15" hidden="false" customHeight="false" outlineLevel="0" collapsed="false">
      <c r="A92" s="9" t="n">
        <v>91</v>
      </c>
      <c r="B92" s="10" t="str">
        <f aca="false">IF(C92="",IF(D92="",I92,"החווה של "&amp;D92),IF(D92="",C92,C92&amp;" - החווה של "&amp;D92))</f>
        <v>דורות</v>
      </c>
      <c r="C92" s="11"/>
      <c r="D92" s="11"/>
      <c r="E92" s="12"/>
      <c r="F92" s="12"/>
      <c r="G92" s="12"/>
      <c r="H92" s="12"/>
      <c r="I92" s="9" t="s">
        <v>189</v>
      </c>
      <c r="J92" s="9" t="n">
        <v>336</v>
      </c>
      <c r="K92" s="9" t="s">
        <v>80</v>
      </c>
      <c r="L92" s="9" t="s">
        <v>184</v>
      </c>
      <c r="M92" s="9" t="s">
        <v>82</v>
      </c>
      <c r="N92" s="9" t="s">
        <v>185</v>
      </c>
      <c r="O92" s="12"/>
      <c r="P92" s="12"/>
      <c r="Q92" s="12"/>
      <c r="R92" s="13" t="n">
        <v>9000</v>
      </c>
      <c r="S92" s="14"/>
      <c r="T92" s="14"/>
      <c r="U92" s="14"/>
      <c r="V92" s="15" t="str">
        <f aca="false">IF(AND(S92="",T92=""),"",IFERROR(N(S92)*מקרא!$B$10+N(T92)*מקרא!$B$11,""))</f>
        <v/>
      </c>
      <c r="W92" s="12"/>
      <c r="X92" s="12"/>
      <c r="Y92" s="12"/>
      <c r="Z92" s="12"/>
      <c r="AA92" s="12"/>
      <c r="AB92" s="9" t="n">
        <v>31.50666</v>
      </c>
      <c r="AC92" s="9" t="n">
        <v>34.64499</v>
      </c>
      <c r="AD92" s="16" t="s">
        <v>84</v>
      </c>
      <c r="AE92" s="16" t="s">
        <v>77</v>
      </c>
      <c r="AF92" s="12" t="s">
        <v>101</v>
      </c>
    </row>
    <row r="93" customFormat="false" ht="15" hidden="false" customHeight="false" outlineLevel="0" collapsed="false">
      <c r="A93" s="9" t="n">
        <v>92</v>
      </c>
      <c r="B93" s="10" t="str">
        <f aca="false">IF(C93="",IF(D93="",I93,"החווה של "&amp;D93),IF(D93="",C93,C93&amp;" - החווה של "&amp;D93))</f>
        <v>כפר עזה</v>
      </c>
      <c r="C93" s="11"/>
      <c r="D93" s="11"/>
      <c r="E93" s="12"/>
      <c r="F93" s="12"/>
      <c r="G93" s="12"/>
      <c r="H93" s="12"/>
      <c r="I93" s="9" t="s">
        <v>190</v>
      </c>
      <c r="J93" s="9" t="n">
        <v>845</v>
      </c>
      <c r="K93" s="9" t="s">
        <v>80</v>
      </c>
      <c r="L93" s="9" t="s">
        <v>184</v>
      </c>
      <c r="M93" s="9" t="s">
        <v>82</v>
      </c>
      <c r="N93" s="9" t="s">
        <v>185</v>
      </c>
      <c r="O93" s="12"/>
      <c r="P93" s="12"/>
      <c r="Q93" s="12"/>
      <c r="R93" s="13" t="n">
        <v>9000</v>
      </c>
      <c r="S93" s="14"/>
      <c r="T93" s="14"/>
      <c r="U93" s="14"/>
      <c r="V93" s="15" t="str">
        <f aca="false">IF(AND(S93="",T93=""),"",IFERROR(N(S93)*מקרא!$B$10+N(T93)*מקרא!$B$11,""))</f>
        <v/>
      </c>
      <c r="W93" s="12"/>
      <c r="X93" s="12"/>
      <c r="Y93" s="12"/>
      <c r="Z93" s="12"/>
      <c r="AA93" s="12"/>
      <c r="AB93" s="9" t="n">
        <v>31.48356</v>
      </c>
      <c r="AC93" s="9" t="n">
        <v>34.53189</v>
      </c>
      <c r="AD93" s="16" t="s">
        <v>84</v>
      </c>
      <c r="AE93" s="16" t="s">
        <v>77</v>
      </c>
      <c r="AF93" s="12" t="s">
        <v>101</v>
      </c>
    </row>
    <row r="94" customFormat="false" ht="15" hidden="false" customHeight="false" outlineLevel="0" collapsed="false">
      <c r="A94" s="9" t="n">
        <v>93</v>
      </c>
      <c r="B94" s="10" t="str">
        <f aca="false">IF(C94="",IF(D94="",I94,"החווה של "&amp;D94),IF(D94="",C94,C94&amp;" - החווה של "&amp;D94))</f>
        <v>מפלסים</v>
      </c>
      <c r="C94" s="11"/>
      <c r="D94" s="11"/>
      <c r="E94" s="12"/>
      <c r="F94" s="12"/>
      <c r="G94" s="12"/>
      <c r="H94" s="12"/>
      <c r="I94" s="9" t="s">
        <v>191</v>
      </c>
      <c r="J94" s="9" t="n">
        <v>668</v>
      </c>
      <c r="K94" s="9" t="s">
        <v>80</v>
      </c>
      <c r="L94" s="9" t="s">
        <v>184</v>
      </c>
      <c r="M94" s="9" t="s">
        <v>82</v>
      </c>
      <c r="N94" s="9" t="s">
        <v>185</v>
      </c>
      <c r="O94" s="12"/>
      <c r="P94" s="12"/>
      <c r="Q94" s="12"/>
      <c r="R94" s="13" t="n">
        <v>9000</v>
      </c>
      <c r="S94" s="14"/>
      <c r="T94" s="14"/>
      <c r="U94" s="14"/>
      <c r="V94" s="15" t="str">
        <f aca="false">IF(AND(S94="",T94=""),"",IFERROR(N(S94)*מקרא!$B$10+N(T94)*מקרא!$B$11,""))</f>
        <v/>
      </c>
      <c r="W94" s="12"/>
      <c r="X94" s="12"/>
      <c r="Y94" s="12"/>
      <c r="Z94" s="12"/>
      <c r="AA94" s="12"/>
      <c r="AB94" s="9" t="n">
        <v>31.50202</v>
      </c>
      <c r="AC94" s="9" t="n">
        <v>34.56134</v>
      </c>
      <c r="AD94" s="16" t="s">
        <v>84</v>
      </c>
      <c r="AE94" s="16" t="s">
        <v>77</v>
      </c>
      <c r="AF94" s="12" t="s">
        <v>101</v>
      </c>
    </row>
    <row r="95" customFormat="false" ht="15" hidden="false" customHeight="false" outlineLevel="0" collapsed="false">
      <c r="A95" s="9" t="n">
        <v>94</v>
      </c>
      <c r="B95" s="10" t="str">
        <f aca="false">IF(C95="",IF(D95="",I95,"החווה של "&amp;D95),IF(D95="",C95,C95&amp;" - החווה של "&amp;D95))</f>
        <v>נחל עוז</v>
      </c>
      <c r="C95" s="11"/>
      <c r="D95" s="11"/>
      <c r="E95" s="12"/>
      <c r="F95" s="12"/>
      <c r="G95" s="12"/>
      <c r="H95" s="12"/>
      <c r="I95" s="9" t="s">
        <v>192</v>
      </c>
      <c r="J95" s="9" t="n">
        <v>844</v>
      </c>
      <c r="K95" s="9" t="s">
        <v>80</v>
      </c>
      <c r="L95" s="9" t="s">
        <v>184</v>
      </c>
      <c r="M95" s="9" t="s">
        <v>82</v>
      </c>
      <c r="N95" s="9" t="s">
        <v>185</v>
      </c>
      <c r="O95" s="12"/>
      <c r="P95" s="12"/>
      <c r="Q95" s="12"/>
      <c r="R95" s="13" t="n">
        <v>9000</v>
      </c>
      <c r="S95" s="14"/>
      <c r="T95" s="14"/>
      <c r="U95" s="14"/>
      <c r="V95" s="15" t="str">
        <f aca="false">IF(AND(S95="",T95=""),"",IFERROR(N(S95)*מקרא!$B$10+N(T95)*מקרא!$B$11,""))</f>
        <v/>
      </c>
      <c r="W95" s="12"/>
      <c r="X95" s="12"/>
      <c r="Y95" s="12"/>
      <c r="Z95" s="12"/>
      <c r="AA95" s="12"/>
      <c r="AB95" s="9" t="n">
        <v>31.47274</v>
      </c>
      <c r="AC95" s="9" t="n">
        <v>34.49746</v>
      </c>
      <c r="AD95" s="16" t="s">
        <v>84</v>
      </c>
      <c r="AE95" s="16" t="s">
        <v>77</v>
      </c>
      <c r="AF95" s="12" t="s">
        <v>101</v>
      </c>
    </row>
    <row r="96" customFormat="false" ht="15" hidden="false" customHeight="false" outlineLevel="0" collapsed="false">
      <c r="A96" s="9" t="n">
        <v>95</v>
      </c>
      <c r="B96" s="10" t="str">
        <f aca="false">IF(C96="",IF(D96="",I96,"החווה של "&amp;D96),IF(D96="",C96,C96&amp;" - החווה של "&amp;D96))</f>
        <v>ניר עם</v>
      </c>
      <c r="C96" s="11"/>
      <c r="D96" s="11"/>
      <c r="E96" s="12"/>
      <c r="F96" s="12"/>
      <c r="G96" s="12"/>
      <c r="H96" s="12"/>
      <c r="I96" s="9" t="s">
        <v>193</v>
      </c>
      <c r="J96" s="9" t="n">
        <v>348</v>
      </c>
      <c r="K96" s="9" t="s">
        <v>80</v>
      </c>
      <c r="L96" s="9" t="s">
        <v>184</v>
      </c>
      <c r="M96" s="9" t="s">
        <v>82</v>
      </c>
      <c r="N96" s="9" t="s">
        <v>185</v>
      </c>
      <c r="O96" s="12"/>
      <c r="P96" s="12"/>
      <c r="Q96" s="12"/>
      <c r="R96" s="13" t="n">
        <v>9000</v>
      </c>
      <c r="S96" s="14"/>
      <c r="T96" s="14"/>
      <c r="U96" s="14"/>
      <c r="V96" s="15" t="str">
        <f aca="false">IF(AND(S96="",T96=""),"",IFERROR(N(S96)*מקרא!$B$10+N(T96)*מקרא!$B$11,""))</f>
        <v/>
      </c>
      <c r="W96" s="12"/>
      <c r="X96" s="12"/>
      <c r="Y96" s="12"/>
      <c r="Z96" s="12"/>
      <c r="AA96" s="12"/>
      <c r="AB96" s="9" t="n">
        <v>31.51961</v>
      </c>
      <c r="AC96" s="9" t="n">
        <v>34.57975</v>
      </c>
      <c r="AD96" s="16" t="s">
        <v>84</v>
      </c>
      <c r="AE96" s="16" t="s">
        <v>77</v>
      </c>
      <c r="AF96" s="12" t="s">
        <v>101</v>
      </c>
    </row>
    <row r="97" customFormat="false" ht="15" hidden="false" customHeight="false" outlineLevel="0" collapsed="false">
      <c r="A97" s="9" t="n">
        <v>96</v>
      </c>
      <c r="B97" s="10" t="str">
        <f aca="false">IF(C97="",IF(D97="",I97,"החווה של "&amp;D97),IF(D97="",C97,C97&amp;" - החווה של "&amp;D97))</f>
        <v>רוחמה</v>
      </c>
      <c r="C97" s="11"/>
      <c r="D97" s="11"/>
      <c r="E97" s="12"/>
      <c r="F97" s="12"/>
      <c r="G97" s="12"/>
      <c r="H97" s="12"/>
      <c r="I97" s="9" t="s">
        <v>194</v>
      </c>
      <c r="J97" s="9" t="n">
        <v>362</v>
      </c>
      <c r="K97" s="9" t="s">
        <v>80</v>
      </c>
      <c r="L97" s="9" t="s">
        <v>184</v>
      </c>
      <c r="M97" s="9" t="s">
        <v>82</v>
      </c>
      <c r="N97" s="9" t="s">
        <v>185</v>
      </c>
      <c r="O97" s="12"/>
      <c r="P97" s="12"/>
      <c r="Q97" s="12"/>
      <c r="R97" s="13" t="n">
        <v>9000</v>
      </c>
      <c r="S97" s="14"/>
      <c r="T97" s="14"/>
      <c r="U97" s="14"/>
      <c r="V97" s="15" t="str">
        <f aca="false">IF(AND(S97="",T97=""),"",IFERROR(N(S97)*מקרא!$B$10+N(T97)*מקרא!$B$11,""))</f>
        <v/>
      </c>
      <c r="W97" s="12"/>
      <c r="X97" s="12"/>
      <c r="Y97" s="12"/>
      <c r="Z97" s="12"/>
      <c r="AA97" s="12"/>
      <c r="AB97" s="9" t="n">
        <v>31.49789</v>
      </c>
      <c r="AC97" s="9" t="n">
        <v>34.70609</v>
      </c>
      <c r="AD97" s="16" t="s">
        <v>84</v>
      </c>
      <c r="AE97" s="16" t="s">
        <v>77</v>
      </c>
      <c r="AF97" s="12" t="s">
        <v>101</v>
      </c>
    </row>
    <row r="98" customFormat="false" ht="15" hidden="false" customHeight="false" outlineLevel="0" collapsed="false">
      <c r="A98" s="9" t="n">
        <v>97</v>
      </c>
      <c r="B98" s="10" t="str">
        <f aca="false">IF(C98="",IF(D98="",I98,"החווה של "&amp;D98),IF(D98="",C98,C98&amp;" - החווה של "&amp;D98))</f>
        <v>יכיני</v>
      </c>
      <c r="C98" s="11"/>
      <c r="D98" s="11"/>
      <c r="E98" s="12"/>
      <c r="F98" s="12"/>
      <c r="G98" s="12"/>
      <c r="H98" s="12"/>
      <c r="I98" s="9" t="s">
        <v>195</v>
      </c>
      <c r="J98" s="9" t="n">
        <v>811</v>
      </c>
      <c r="K98" s="9" t="s">
        <v>90</v>
      </c>
      <c r="L98" s="9" t="s">
        <v>184</v>
      </c>
      <c r="M98" s="9" t="s">
        <v>82</v>
      </c>
      <c r="N98" s="9" t="s">
        <v>185</v>
      </c>
      <c r="O98" s="12"/>
      <c r="P98" s="12"/>
      <c r="Q98" s="12"/>
      <c r="R98" s="13" t="n">
        <v>3250</v>
      </c>
      <c r="S98" s="14"/>
      <c r="T98" s="14"/>
      <c r="U98" s="14"/>
      <c r="V98" s="15" t="str">
        <f aca="false">IF(AND(S98="",T98=""),"",IFERROR(N(S98)*מקרא!$B$10+N(T98)*מקרא!$B$11,""))</f>
        <v/>
      </c>
      <c r="W98" s="12"/>
      <c r="X98" s="12"/>
      <c r="Y98" s="12"/>
      <c r="Z98" s="12"/>
      <c r="AA98" s="12"/>
      <c r="AB98" s="9" t="n">
        <v>31.48273</v>
      </c>
      <c r="AC98" s="9" t="n">
        <v>34.59967</v>
      </c>
      <c r="AD98" s="16" t="s">
        <v>84</v>
      </c>
      <c r="AE98" s="16" t="s">
        <v>77</v>
      </c>
      <c r="AF98" s="12" t="s">
        <v>101</v>
      </c>
    </row>
    <row r="99" customFormat="false" ht="15" hidden="false" customHeight="false" outlineLevel="0" collapsed="false">
      <c r="A99" s="9" t="n">
        <v>98</v>
      </c>
      <c r="B99" s="10" t="str">
        <f aca="false">IF(C99="",IF(D99="",I99,"החווה של "&amp;D99),IF(D99="",C99,C99&amp;" - החווה של "&amp;D99))</f>
        <v>חוות השקמים</v>
      </c>
      <c r="C99" s="11"/>
      <c r="D99" s="11"/>
      <c r="E99" s="12"/>
      <c r="F99" s="12"/>
      <c r="G99" s="12"/>
      <c r="H99" s="12"/>
      <c r="I99" s="9" t="s">
        <v>196</v>
      </c>
      <c r="J99" s="9"/>
      <c r="K99" s="9" t="s">
        <v>90</v>
      </c>
      <c r="L99" s="9" t="s">
        <v>184</v>
      </c>
      <c r="M99" s="9" t="s">
        <v>82</v>
      </c>
      <c r="N99" s="9" t="s">
        <v>185</v>
      </c>
      <c r="O99" s="12"/>
      <c r="P99" s="12"/>
      <c r="Q99" s="12"/>
      <c r="R99" s="13" t="n">
        <v>3250</v>
      </c>
      <c r="S99" s="14"/>
      <c r="T99" s="14"/>
      <c r="U99" s="14"/>
      <c r="V99" s="15" t="str">
        <f aca="false">IF(AND(S99="",T99=""),"",IFERROR(N(S99)*מקרא!$B$10+N(T99)*מקרא!$B$11,""))</f>
        <v/>
      </c>
      <c r="W99" s="12"/>
      <c r="X99" s="12"/>
      <c r="Y99" s="12"/>
      <c r="Z99" s="12"/>
      <c r="AA99" s="12"/>
      <c r="AB99" s="9"/>
      <c r="AC99" s="9"/>
      <c r="AD99" s="16" t="s">
        <v>84</v>
      </c>
      <c r="AE99" s="16" t="s">
        <v>77</v>
      </c>
      <c r="AF99" s="12" t="s">
        <v>101</v>
      </c>
    </row>
    <row r="100" customFormat="false" ht="15" hidden="false" customHeight="false" outlineLevel="0" collapsed="false">
      <c r="A100" s="9" t="n">
        <v>99</v>
      </c>
      <c r="B100" s="10" t="str">
        <f aca="false">IF(C100="",IF(D100="",I100,"החווה של "&amp;D100),IF(D100="",C100,C100&amp;" - החווה של "&amp;D100))</f>
        <v>גברעם</v>
      </c>
      <c r="C100" s="11"/>
      <c r="D100" s="11"/>
      <c r="E100" s="12"/>
      <c r="F100" s="12"/>
      <c r="G100" s="12"/>
      <c r="H100" s="12"/>
      <c r="I100" s="9" t="s">
        <v>197</v>
      </c>
      <c r="J100" s="9" t="n">
        <v>342</v>
      </c>
      <c r="K100" s="9" t="s">
        <v>80</v>
      </c>
      <c r="L100" s="9" t="s">
        <v>198</v>
      </c>
      <c r="M100" s="9" t="s">
        <v>199</v>
      </c>
      <c r="N100" s="9" t="s">
        <v>200</v>
      </c>
      <c r="O100" s="12"/>
      <c r="P100" s="12"/>
      <c r="Q100" s="12"/>
      <c r="R100" s="13" t="n">
        <v>4000</v>
      </c>
      <c r="S100" s="14"/>
      <c r="T100" s="14"/>
      <c r="U100" s="14"/>
      <c r="V100" s="15" t="str">
        <f aca="false">IF(AND(S100="",T100=""),"",IFERROR(N(S100)*מקרא!$B$10+N(T100)*מקרא!$B$11,""))</f>
        <v/>
      </c>
      <c r="W100" s="12"/>
      <c r="X100" s="12"/>
      <c r="Y100" s="12"/>
      <c r="Z100" s="12"/>
      <c r="AA100" s="12"/>
      <c r="AB100" s="9" t="n">
        <v>31.59146</v>
      </c>
      <c r="AC100" s="9" t="n">
        <v>34.61214</v>
      </c>
      <c r="AD100" s="16" t="s">
        <v>84</v>
      </c>
      <c r="AE100" s="16" t="s">
        <v>77</v>
      </c>
      <c r="AF100" s="12"/>
    </row>
    <row r="101" customFormat="false" ht="15" hidden="false" customHeight="false" outlineLevel="0" collapsed="false">
      <c r="A101" s="9" t="n">
        <v>100</v>
      </c>
      <c r="B101" s="10" t="str">
        <f aca="false">IF(C101="",IF(D101="",I101,"החווה של "&amp;D101),IF(D101="",C101,C101&amp;" - החווה של "&amp;D101))</f>
        <v>זיקים</v>
      </c>
      <c r="C101" s="11"/>
      <c r="D101" s="11"/>
      <c r="E101" s="12"/>
      <c r="F101" s="12"/>
      <c r="G101" s="12"/>
      <c r="H101" s="12"/>
      <c r="I101" s="9" t="s">
        <v>201</v>
      </c>
      <c r="J101" s="9" t="n">
        <v>584</v>
      </c>
      <c r="K101" s="9" t="s">
        <v>80</v>
      </c>
      <c r="L101" s="9" t="s">
        <v>198</v>
      </c>
      <c r="M101" s="9" t="s">
        <v>199</v>
      </c>
      <c r="N101" s="9" t="s">
        <v>200</v>
      </c>
      <c r="O101" s="12"/>
      <c r="P101" s="12"/>
      <c r="Q101" s="12"/>
      <c r="R101" s="13" t="n">
        <v>4000</v>
      </c>
      <c r="S101" s="14"/>
      <c r="T101" s="14"/>
      <c r="U101" s="14"/>
      <c r="V101" s="15" t="str">
        <f aca="false">IF(AND(S101="",T101=""),"",IFERROR(N(S101)*מקרא!$B$10+N(T101)*מקרא!$B$11,""))</f>
        <v/>
      </c>
      <c r="W101" s="12"/>
      <c r="X101" s="12"/>
      <c r="Y101" s="12"/>
      <c r="Z101" s="12"/>
      <c r="AA101" s="12"/>
      <c r="AB101" s="9" t="n">
        <v>31.60959</v>
      </c>
      <c r="AC101" s="9" t="n">
        <v>34.52171</v>
      </c>
      <c r="AD101" s="16" t="s">
        <v>84</v>
      </c>
      <c r="AE101" s="16" t="s">
        <v>77</v>
      </c>
      <c r="AF101" s="12"/>
    </row>
    <row r="102" customFormat="false" ht="15" hidden="false" customHeight="false" outlineLevel="0" collapsed="false">
      <c r="A102" s="9" t="n">
        <v>101</v>
      </c>
      <c r="B102" s="10" t="str">
        <f aca="false">IF(C102="",IF(D102="",I102,"החווה של "&amp;D102),IF(D102="",C102,C102&amp;" - החווה של "&amp;D102))</f>
        <v>יד מרדכי</v>
      </c>
      <c r="C102" s="11"/>
      <c r="D102" s="11"/>
      <c r="E102" s="12"/>
      <c r="F102" s="12"/>
      <c r="G102" s="12"/>
      <c r="H102" s="12"/>
      <c r="I102" s="9" t="s">
        <v>202</v>
      </c>
      <c r="J102" s="9" t="n">
        <v>358</v>
      </c>
      <c r="K102" s="9" t="s">
        <v>80</v>
      </c>
      <c r="L102" s="9" t="s">
        <v>198</v>
      </c>
      <c r="M102" s="9" t="s">
        <v>199</v>
      </c>
      <c r="N102" s="9" t="s">
        <v>200</v>
      </c>
      <c r="O102" s="12"/>
      <c r="P102" s="12"/>
      <c r="Q102" s="12"/>
      <c r="R102" s="13" t="n">
        <v>4000</v>
      </c>
      <c r="S102" s="14"/>
      <c r="T102" s="14"/>
      <c r="U102" s="14"/>
      <c r="V102" s="15" t="str">
        <f aca="false">IF(AND(S102="",T102=""),"",IFERROR(N(S102)*מקרא!$B$10+N(T102)*מקרא!$B$11,""))</f>
        <v/>
      </c>
      <c r="W102" s="12"/>
      <c r="X102" s="12"/>
      <c r="Y102" s="12"/>
      <c r="Z102" s="12"/>
      <c r="AA102" s="12"/>
      <c r="AB102" s="9" t="n">
        <v>31.58895</v>
      </c>
      <c r="AC102" s="9" t="n">
        <v>34.55842</v>
      </c>
      <c r="AD102" s="16" t="s">
        <v>84</v>
      </c>
      <c r="AE102" s="16" t="s">
        <v>77</v>
      </c>
      <c r="AF102" s="12"/>
    </row>
    <row r="103" customFormat="false" ht="15" hidden="false" customHeight="false" outlineLevel="0" collapsed="false">
      <c r="A103" s="9" t="n">
        <v>102</v>
      </c>
      <c r="B103" s="10" t="str">
        <f aca="false">IF(C103="",IF(D103="",I103,"החווה של "&amp;D103),IF(D103="",C103,C103&amp;" - החווה של "&amp;D103))</f>
        <v>כרמיה</v>
      </c>
      <c r="C103" s="11"/>
      <c r="D103" s="11"/>
      <c r="E103" s="12"/>
      <c r="F103" s="12"/>
      <c r="G103" s="12"/>
      <c r="H103" s="12"/>
      <c r="I103" s="9" t="s">
        <v>203</v>
      </c>
      <c r="J103" s="9" t="n">
        <v>768</v>
      </c>
      <c r="K103" s="9" t="s">
        <v>80</v>
      </c>
      <c r="L103" s="9" t="s">
        <v>198</v>
      </c>
      <c r="M103" s="9" t="s">
        <v>199</v>
      </c>
      <c r="N103" s="9" t="s">
        <v>200</v>
      </c>
      <c r="O103" s="12"/>
      <c r="P103" s="12"/>
      <c r="Q103" s="12"/>
      <c r="R103" s="13" t="n">
        <v>4000</v>
      </c>
      <c r="S103" s="14"/>
      <c r="T103" s="14"/>
      <c r="U103" s="14"/>
      <c r="V103" s="15" t="str">
        <f aca="false">IF(AND(S103="",T103=""),"",IFERROR(N(S103)*מקרא!$B$10+N(T103)*מקרא!$B$11,""))</f>
        <v/>
      </c>
      <c r="W103" s="12"/>
      <c r="X103" s="12"/>
      <c r="Y103" s="12"/>
      <c r="Z103" s="12"/>
      <c r="AA103" s="12"/>
      <c r="AB103" s="9" t="n">
        <v>31.6051</v>
      </c>
      <c r="AC103" s="9" t="n">
        <v>34.54187</v>
      </c>
      <c r="AD103" s="16" t="s">
        <v>84</v>
      </c>
      <c r="AE103" s="16" t="s">
        <v>77</v>
      </c>
      <c r="AF103" s="12"/>
    </row>
    <row r="104" customFormat="false" ht="15" hidden="false" customHeight="false" outlineLevel="0" collapsed="false">
      <c r="A104" s="9" t="n">
        <v>103</v>
      </c>
      <c r="B104" s="10" t="str">
        <f aca="false">IF(C104="",IF(D104="",I104,"החווה של "&amp;D104),IF(D104="",C104,C104&amp;" - החווה של "&amp;D104))</f>
        <v>ניצנים</v>
      </c>
      <c r="C104" s="11"/>
      <c r="D104" s="11"/>
      <c r="E104" s="12"/>
      <c r="F104" s="12"/>
      <c r="G104" s="12"/>
      <c r="H104" s="12"/>
      <c r="I104" s="9" t="s">
        <v>204</v>
      </c>
      <c r="J104" s="9" t="n">
        <v>359</v>
      </c>
      <c r="K104" s="9" t="s">
        <v>80</v>
      </c>
      <c r="L104" s="9" t="s">
        <v>198</v>
      </c>
      <c r="M104" s="9" t="s">
        <v>199</v>
      </c>
      <c r="N104" s="9" t="s">
        <v>200</v>
      </c>
      <c r="O104" s="12"/>
      <c r="P104" s="12"/>
      <c r="Q104" s="12"/>
      <c r="R104" s="13" t="n">
        <v>4000</v>
      </c>
      <c r="S104" s="14"/>
      <c r="T104" s="14"/>
      <c r="U104" s="14"/>
      <c r="V104" s="15" t="str">
        <f aca="false">IF(AND(S104="",T104=""),"",IFERROR(N(S104)*מקרא!$B$10+N(T104)*מקרא!$B$11,""))</f>
        <v/>
      </c>
      <c r="W104" s="12"/>
      <c r="X104" s="12"/>
      <c r="Y104" s="12"/>
      <c r="Z104" s="12"/>
      <c r="AA104" s="12"/>
      <c r="AB104" s="9" t="n">
        <v>31.71746</v>
      </c>
      <c r="AC104" s="9" t="n">
        <v>34.63402</v>
      </c>
      <c r="AD104" s="16" t="s">
        <v>84</v>
      </c>
      <c r="AE104" s="16" t="s">
        <v>77</v>
      </c>
      <c r="AF104" s="12"/>
    </row>
    <row r="105" customFormat="false" ht="15" hidden="false" customHeight="false" outlineLevel="0" collapsed="false">
      <c r="A105" s="9" t="n">
        <v>104</v>
      </c>
      <c r="B105" s="10" t="str">
        <f aca="false">IF(C105="",IF(D105="",I105,"החווה של "&amp;D105),IF(D105="",C105,C105&amp;" - החווה של "&amp;D105))</f>
        <v>בית שקמה</v>
      </c>
      <c r="C105" s="11"/>
      <c r="D105" s="11"/>
      <c r="E105" s="12"/>
      <c r="F105" s="12"/>
      <c r="G105" s="12"/>
      <c r="H105" s="12"/>
      <c r="I105" s="9" t="s">
        <v>205</v>
      </c>
      <c r="J105" s="9" t="n">
        <v>747</v>
      </c>
      <c r="K105" s="9" t="s">
        <v>90</v>
      </c>
      <c r="L105" s="9" t="s">
        <v>198</v>
      </c>
      <c r="M105" s="9" t="s">
        <v>199</v>
      </c>
      <c r="N105" s="9" t="s">
        <v>200</v>
      </c>
      <c r="O105" s="12"/>
      <c r="P105" s="12"/>
      <c r="Q105" s="12"/>
      <c r="R105" s="13" t="n">
        <v>1900</v>
      </c>
      <c r="S105" s="14"/>
      <c r="T105" s="14"/>
      <c r="U105" s="14"/>
      <c r="V105" s="15" t="str">
        <f aca="false">IF(AND(S105="",T105=""),"",IFERROR(N(S105)*מקרא!$B$10+N(T105)*מקרא!$B$11,""))</f>
        <v/>
      </c>
      <c r="W105" s="12"/>
      <c r="X105" s="12"/>
      <c r="Y105" s="12"/>
      <c r="Z105" s="12"/>
      <c r="AA105" s="12"/>
      <c r="AB105" s="9" t="n">
        <v>31.63789</v>
      </c>
      <c r="AC105" s="9" t="n">
        <v>34.60763</v>
      </c>
      <c r="AD105" s="16" t="s">
        <v>84</v>
      </c>
      <c r="AE105" s="16" t="s">
        <v>77</v>
      </c>
      <c r="AF105" s="12"/>
    </row>
    <row r="106" customFormat="false" ht="15" hidden="false" customHeight="false" outlineLevel="0" collapsed="false">
      <c r="A106" s="9" t="n">
        <v>105</v>
      </c>
      <c r="B106" s="10" t="str">
        <f aca="false">IF(C106="",IF(D106="",I106,"החווה של "&amp;D106),IF(D106="",C106,C106&amp;" - החווה של "&amp;D106))</f>
        <v>ברכיה</v>
      </c>
      <c r="C106" s="11"/>
      <c r="D106" s="11"/>
      <c r="E106" s="12"/>
      <c r="F106" s="12"/>
      <c r="G106" s="12"/>
      <c r="H106" s="12"/>
      <c r="I106" s="9" t="s">
        <v>206</v>
      </c>
      <c r="J106" s="9" t="n">
        <v>746</v>
      </c>
      <c r="K106" s="9" t="s">
        <v>90</v>
      </c>
      <c r="L106" s="9" t="s">
        <v>198</v>
      </c>
      <c r="M106" s="9" t="s">
        <v>199</v>
      </c>
      <c r="N106" s="9" t="s">
        <v>200</v>
      </c>
      <c r="O106" s="12"/>
      <c r="P106" s="12"/>
      <c r="Q106" s="12"/>
      <c r="R106" s="13" t="n">
        <v>1900</v>
      </c>
      <c r="S106" s="14"/>
      <c r="T106" s="14"/>
      <c r="U106" s="14"/>
      <c r="V106" s="15" t="str">
        <f aca="false">IF(AND(S106="",T106=""),"",IFERROR(N(S106)*מקרא!$B$10+N(T106)*מקרא!$B$11,""))</f>
        <v/>
      </c>
      <c r="W106" s="12"/>
      <c r="X106" s="12"/>
      <c r="Y106" s="12"/>
      <c r="Z106" s="12"/>
      <c r="AA106" s="12"/>
      <c r="AB106" s="9" t="n">
        <v>31.66926</v>
      </c>
      <c r="AC106" s="9" t="n">
        <v>34.62535</v>
      </c>
      <c r="AD106" s="16" t="s">
        <v>84</v>
      </c>
      <c r="AE106" s="16" t="s">
        <v>77</v>
      </c>
      <c r="AF106" s="12"/>
    </row>
    <row r="107" customFormat="false" ht="15" hidden="false" customHeight="false" outlineLevel="0" collapsed="false">
      <c r="A107" s="9" t="n">
        <v>106</v>
      </c>
      <c r="B107" s="10" t="str">
        <f aca="false">IF(C107="",IF(D107="",I107,"החווה של "&amp;D107),IF(D107="",C107,C107&amp;" - החווה של "&amp;D107))</f>
        <v>גיאה</v>
      </c>
      <c r="C107" s="11"/>
      <c r="D107" s="11"/>
      <c r="E107" s="12"/>
      <c r="F107" s="12"/>
      <c r="G107" s="12"/>
      <c r="H107" s="12"/>
      <c r="I107" s="9" t="s">
        <v>207</v>
      </c>
      <c r="J107" s="9" t="n">
        <v>706</v>
      </c>
      <c r="K107" s="9" t="s">
        <v>90</v>
      </c>
      <c r="L107" s="9" t="s">
        <v>198</v>
      </c>
      <c r="M107" s="9" t="s">
        <v>199</v>
      </c>
      <c r="N107" s="9" t="s">
        <v>200</v>
      </c>
      <c r="O107" s="12"/>
      <c r="P107" s="12"/>
      <c r="Q107" s="12"/>
      <c r="R107" s="13" t="n">
        <v>1900</v>
      </c>
      <c r="S107" s="14"/>
      <c r="T107" s="14"/>
      <c r="U107" s="14"/>
      <c r="V107" s="15" t="str">
        <f aca="false">IF(AND(S107="",T107=""),"",IFERROR(N(S107)*מקרא!$B$10+N(T107)*מקרא!$B$11,""))</f>
        <v/>
      </c>
      <c r="W107" s="12"/>
      <c r="X107" s="12"/>
      <c r="Y107" s="12"/>
      <c r="Z107" s="12"/>
      <c r="AA107" s="12"/>
      <c r="AB107" s="9" t="n">
        <v>31.62767</v>
      </c>
      <c r="AC107" s="9" t="n">
        <v>34.60327</v>
      </c>
      <c r="AD107" s="16" t="s">
        <v>84</v>
      </c>
      <c r="AE107" s="16" t="s">
        <v>77</v>
      </c>
      <c r="AF107" s="12"/>
    </row>
    <row r="108" customFormat="false" ht="15" hidden="false" customHeight="false" outlineLevel="0" collapsed="false">
      <c r="A108" s="9" t="n">
        <v>107</v>
      </c>
      <c r="B108" s="10" t="str">
        <f aca="false">IF(C108="",IF(D108="",I108,"החווה של "&amp;D108),IF(D108="",C108,C108&amp;" - החווה של "&amp;D108))</f>
        <v>הודיה</v>
      </c>
      <c r="C108" s="11"/>
      <c r="D108" s="11"/>
      <c r="E108" s="12"/>
      <c r="F108" s="12"/>
      <c r="G108" s="12"/>
      <c r="H108" s="12"/>
      <c r="I108" s="9" t="s">
        <v>208</v>
      </c>
      <c r="J108" s="9" t="n">
        <v>726</v>
      </c>
      <c r="K108" s="9" t="s">
        <v>90</v>
      </c>
      <c r="L108" s="9" t="s">
        <v>198</v>
      </c>
      <c r="M108" s="9" t="s">
        <v>199</v>
      </c>
      <c r="N108" s="9" t="s">
        <v>200</v>
      </c>
      <c r="O108" s="12"/>
      <c r="P108" s="12"/>
      <c r="Q108" s="12"/>
      <c r="R108" s="13" t="n">
        <v>1900</v>
      </c>
      <c r="S108" s="14"/>
      <c r="T108" s="14"/>
      <c r="U108" s="14"/>
      <c r="V108" s="15" t="str">
        <f aca="false">IF(AND(S108="",T108=""),"",IFERROR(N(S108)*מקרא!$B$10+N(T108)*מקרא!$B$11,""))</f>
        <v/>
      </c>
      <c r="W108" s="12"/>
      <c r="X108" s="12"/>
      <c r="Y108" s="12"/>
      <c r="Z108" s="12"/>
      <c r="AA108" s="12"/>
      <c r="AB108" s="9" t="n">
        <v>31.67492</v>
      </c>
      <c r="AC108" s="9" t="n">
        <v>34.64072</v>
      </c>
      <c r="AD108" s="16" t="s">
        <v>84</v>
      </c>
      <c r="AE108" s="16" t="s">
        <v>77</v>
      </c>
      <c r="AF108" s="12"/>
    </row>
    <row r="109" customFormat="false" ht="15" hidden="false" customHeight="false" outlineLevel="0" collapsed="false">
      <c r="A109" s="9" t="n">
        <v>108</v>
      </c>
      <c r="B109" s="10" t="str">
        <f aca="false">IF(C109="",IF(D109="",I109,"החווה של "&amp;D109),IF(D109="",C109,C109&amp;" - החווה של "&amp;D109))</f>
        <v>חלץ</v>
      </c>
      <c r="C109" s="11"/>
      <c r="D109" s="11"/>
      <c r="E109" s="12"/>
      <c r="F109" s="12"/>
      <c r="G109" s="12"/>
      <c r="H109" s="12"/>
      <c r="I109" s="9" t="s">
        <v>209</v>
      </c>
      <c r="J109" s="9" t="n">
        <v>820</v>
      </c>
      <c r="K109" s="9" t="s">
        <v>90</v>
      </c>
      <c r="L109" s="9" t="s">
        <v>198</v>
      </c>
      <c r="M109" s="9" t="s">
        <v>199</v>
      </c>
      <c r="N109" s="9" t="s">
        <v>200</v>
      </c>
      <c r="O109" s="12"/>
      <c r="P109" s="12"/>
      <c r="Q109" s="12"/>
      <c r="R109" s="13" t="n">
        <v>1900</v>
      </c>
      <c r="S109" s="14"/>
      <c r="T109" s="14"/>
      <c r="U109" s="14"/>
      <c r="V109" s="15" t="str">
        <f aca="false">IF(AND(S109="",T109=""),"",IFERROR(N(S109)*מקרא!$B$10+N(T109)*מקרא!$B$11,""))</f>
        <v/>
      </c>
      <c r="W109" s="12"/>
      <c r="X109" s="12"/>
      <c r="Y109" s="12"/>
      <c r="Z109" s="12"/>
      <c r="AA109" s="12"/>
      <c r="AB109" s="9" t="n">
        <v>31.57796</v>
      </c>
      <c r="AC109" s="9" t="n">
        <v>34.65847</v>
      </c>
      <c r="AD109" s="16" t="s">
        <v>84</v>
      </c>
      <c r="AE109" s="16" t="s">
        <v>77</v>
      </c>
      <c r="AF109" s="12"/>
    </row>
    <row r="110" customFormat="false" ht="15" hidden="false" customHeight="false" outlineLevel="0" collapsed="false">
      <c r="A110" s="9" t="n">
        <v>109</v>
      </c>
      <c r="B110" s="10" t="str">
        <f aca="false">IF(C110="",IF(D110="",I110,"החווה של "&amp;D110),IF(D110="",C110,C110&amp;" - החווה של "&amp;D110))</f>
        <v>כוכב מיכאל</v>
      </c>
      <c r="C110" s="11"/>
      <c r="D110" s="11"/>
      <c r="E110" s="12"/>
      <c r="F110" s="12"/>
      <c r="G110" s="12"/>
      <c r="H110" s="12"/>
      <c r="I110" s="9" t="s">
        <v>210</v>
      </c>
      <c r="J110" s="9" t="n">
        <v>824</v>
      </c>
      <c r="K110" s="9" t="s">
        <v>90</v>
      </c>
      <c r="L110" s="9" t="s">
        <v>198</v>
      </c>
      <c r="M110" s="9" t="s">
        <v>199</v>
      </c>
      <c r="N110" s="9" t="s">
        <v>200</v>
      </c>
      <c r="O110" s="12"/>
      <c r="P110" s="12"/>
      <c r="Q110" s="12"/>
      <c r="R110" s="13" t="n">
        <v>1900</v>
      </c>
      <c r="S110" s="14"/>
      <c r="T110" s="14"/>
      <c r="U110" s="14"/>
      <c r="V110" s="15" t="str">
        <f aca="false">IF(AND(S110="",T110=""),"",IFERROR(N(S110)*מקרא!$B$10+N(T110)*מקרא!$B$11,""))</f>
        <v/>
      </c>
      <c r="W110" s="12"/>
      <c r="X110" s="12"/>
      <c r="Y110" s="12"/>
      <c r="Z110" s="12"/>
      <c r="AA110" s="12"/>
      <c r="AB110" s="9" t="n">
        <v>31.62941</v>
      </c>
      <c r="AC110" s="9" t="n">
        <v>34.66882</v>
      </c>
      <c r="AD110" s="16" t="s">
        <v>84</v>
      </c>
      <c r="AE110" s="16" t="s">
        <v>77</v>
      </c>
      <c r="AF110" s="12"/>
    </row>
    <row r="111" customFormat="false" ht="15" hidden="false" customHeight="false" outlineLevel="0" collapsed="false">
      <c r="A111" s="9" t="n">
        <v>110</v>
      </c>
      <c r="B111" s="10" t="str">
        <f aca="false">IF(C111="",IF(D111="",I111,"החווה של "&amp;D111),IF(D111="",C111,C111&amp;" - החווה של "&amp;D111))</f>
        <v>משען</v>
      </c>
      <c r="C111" s="11"/>
      <c r="D111" s="11"/>
      <c r="E111" s="12"/>
      <c r="F111" s="12"/>
      <c r="G111" s="12"/>
      <c r="H111" s="12"/>
      <c r="I111" s="9" t="s">
        <v>211</v>
      </c>
      <c r="J111" s="9" t="n">
        <v>791</v>
      </c>
      <c r="K111" s="9" t="s">
        <v>90</v>
      </c>
      <c r="L111" s="9" t="s">
        <v>198</v>
      </c>
      <c r="M111" s="9" t="s">
        <v>199</v>
      </c>
      <c r="N111" s="9" t="s">
        <v>200</v>
      </c>
      <c r="O111" s="12"/>
      <c r="P111" s="12"/>
      <c r="Q111" s="12"/>
      <c r="R111" s="13" t="n">
        <v>1900</v>
      </c>
      <c r="S111" s="14"/>
      <c r="T111" s="14"/>
      <c r="U111" s="14"/>
      <c r="V111" s="15" t="str">
        <f aca="false">IF(AND(S111="",T111=""),"",IFERROR(N(S111)*מקרא!$B$10+N(T111)*מקרא!$B$11,""))</f>
        <v/>
      </c>
      <c r="W111" s="12"/>
      <c r="X111" s="12"/>
      <c r="Y111" s="12"/>
      <c r="Z111" s="12"/>
      <c r="AA111" s="12"/>
      <c r="AB111" s="9" t="n">
        <v>31.65717</v>
      </c>
      <c r="AC111" s="9" t="n">
        <v>34.62364</v>
      </c>
      <c r="AD111" s="16" t="s">
        <v>84</v>
      </c>
      <c r="AE111" s="16" t="s">
        <v>77</v>
      </c>
      <c r="AF111" s="12"/>
    </row>
    <row r="112" customFormat="false" ht="15" hidden="false" customHeight="false" outlineLevel="0" collapsed="false">
      <c r="A112" s="9" t="n">
        <v>111</v>
      </c>
      <c r="B112" s="10" t="str">
        <f aca="false">IF(C112="",IF(D112="",I112,"החווה של "&amp;D112),IF(D112="",C112,C112&amp;" - החווה של "&amp;D112))</f>
        <v>ניר ישראל</v>
      </c>
      <c r="C112" s="11"/>
      <c r="D112" s="11"/>
      <c r="E112" s="12"/>
      <c r="F112" s="12"/>
      <c r="G112" s="12"/>
      <c r="H112" s="12"/>
      <c r="I112" s="9" t="s">
        <v>212</v>
      </c>
      <c r="J112" s="9" t="n">
        <v>699</v>
      </c>
      <c r="K112" s="9" t="s">
        <v>90</v>
      </c>
      <c r="L112" s="9" t="s">
        <v>198</v>
      </c>
      <c r="M112" s="9" t="s">
        <v>199</v>
      </c>
      <c r="N112" s="9" t="s">
        <v>200</v>
      </c>
      <c r="O112" s="12"/>
      <c r="P112" s="12"/>
      <c r="Q112" s="12"/>
      <c r="R112" s="13" t="n">
        <v>1900</v>
      </c>
      <c r="S112" s="14"/>
      <c r="T112" s="14"/>
      <c r="U112" s="14"/>
      <c r="V112" s="15" t="str">
        <f aca="false">IF(AND(S112="",T112=""),"",IFERROR(N(S112)*מקרא!$B$10+N(T112)*מקרא!$B$11,""))</f>
        <v/>
      </c>
      <c r="W112" s="12"/>
      <c r="X112" s="12"/>
      <c r="Y112" s="12"/>
      <c r="Z112" s="12"/>
      <c r="AA112" s="12"/>
      <c r="AB112" s="9" t="n">
        <v>31.68726</v>
      </c>
      <c r="AC112" s="9" t="n">
        <v>34.63642</v>
      </c>
      <c r="AD112" s="16" t="s">
        <v>84</v>
      </c>
      <c r="AE112" s="16" t="s">
        <v>77</v>
      </c>
      <c r="AF112" s="12"/>
    </row>
    <row r="113" customFormat="false" ht="15" hidden="false" customHeight="false" outlineLevel="0" collapsed="false">
      <c r="A113" s="9" t="n">
        <v>112</v>
      </c>
      <c r="B113" s="10" t="str">
        <f aca="false">IF(C113="",IF(D113="",I113,"החווה של "&amp;D113),IF(D113="",C113,C113&amp;" - החווה של "&amp;D113))</f>
        <v>נתיב העשרה</v>
      </c>
      <c r="C113" s="11"/>
      <c r="D113" s="11"/>
      <c r="E113" s="12"/>
      <c r="F113" s="12"/>
      <c r="G113" s="12"/>
      <c r="H113" s="12"/>
      <c r="I113" s="9" t="s">
        <v>213</v>
      </c>
      <c r="J113" s="9" t="n">
        <v>1242</v>
      </c>
      <c r="K113" s="9" t="s">
        <v>90</v>
      </c>
      <c r="L113" s="9" t="s">
        <v>198</v>
      </c>
      <c r="M113" s="9" t="s">
        <v>199</v>
      </c>
      <c r="N113" s="9" t="s">
        <v>200</v>
      </c>
      <c r="O113" s="12"/>
      <c r="P113" s="12"/>
      <c r="Q113" s="12"/>
      <c r="R113" s="13" t="n">
        <v>1900</v>
      </c>
      <c r="S113" s="14"/>
      <c r="T113" s="14"/>
      <c r="U113" s="14"/>
      <c r="V113" s="15" t="str">
        <f aca="false">IF(AND(S113="",T113=""),"",IFERROR(N(S113)*מקרא!$B$10+N(T113)*מקרא!$B$11,""))</f>
        <v/>
      </c>
      <c r="W113" s="12"/>
      <c r="X113" s="12"/>
      <c r="Y113" s="12"/>
      <c r="Z113" s="12"/>
      <c r="AA113" s="12"/>
      <c r="AB113" s="9" t="n">
        <v>31.57208</v>
      </c>
      <c r="AC113" s="9" t="n">
        <v>34.53958</v>
      </c>
      <c r="AD113" s="16" t="s">
        <v>84</v>
      </c>
      <c r="AE113" s="16" t="s">
        <v>77</v>
      </c>
      <c r="AF113" s="12"/>
    </row>
    <row r="114" customFormat="false" ht="15" hidden="false" customHeight="false" outlineLevel="0" collapsed="false">
      <c r="A114" s="9" t="n">
        <v>113</v>
      </c>
      <c r="B114" s="10" t="str">
        <f aca="false">IF(C114="",IF(D114="",I114,"החווה של "&amp;D114),IF(D114="",C114,C114&amp;" - החווה של "&amp;D114))</f>
        <v>מבקיעים</v>
      </c>
      <c r="C114" s="11"/>
      <c r="D114" s="11"/>
      <c r="E114" s="12"/>
      <c r="F114" s="12"/>
      <c r="G114" s="12"/>
      <c r="H114" s="12"/>
      <c r="I114" s="9" t="s">
        <v>214</v>
      </c>
      <c r="J114" s="9" t="n">
        <v>573</v>
      </c>
      <c r="K114" s="9" t="s">
        <v>215</v>
      </c>
      <c r="L114" s="9" t="s">
        <v>198</v>
      </c>
      <c r="M114" s="9" t="s">
        <v>199</v>
      </c>
      <c r="N114" s="9" t="s">
        <v>200</v>
      </c>
      <c r="O114" s="12"/>
      <c r="P114" s="12"/>
      <c r="Q114" s="12"/>
      <c r="R114" s="13" t="n">
        <v>1900</v>
      </c>
      <c r="S114" s="14"/>
      <c r="T114" s="14"/>
      <c r="U114" s="14"/>
      <c r="V114" s="15" t="str">
        <f aca="false">IF(AND(S114="",T114=""),"",IFERROR(N(S114)*מקרא!$B$10+N(T114)*מקרא!$B$11,""))</f>
        <v/>
      </c>
      <c r="W114" s="12"/>
      <c r="X114" s="12"/>
      <c r="Y114" s="12"/>
      <c r="Z114" s="12"/>
      <c r="AA114" s="12"/>
      <c r="AB114" s="9" t="n">
        <v>31.62214</v>
      </c>
      <c r="AC114" s="9" t="n">
        <v>34.57685</v>
      </c>
      <c r="AD114" s="16" t="s">
        <v>84</v>
      </c>
      <c r="AE114" s="16" t="s">
        <v>77</v>
      </c>
      <c r="AF114" s="12"/>
    </row>
    <row r="115" customFormat="false" ht="15" hidden="false" customHeight="false" outlineLevel="0" collapsed="false">
      <c r="A115" s="9" t="n">
        <v>114</v>
      </c>
      <c r="B115" s="10" t="str">
        <f aca="false">IF(C115="",IF(D115="",I115,"החווה של "&amp;D115),IF(D115="",C115,C115&amp;" - החווה של "&amp;D115))</f>
        <v>תלמי יפה</v>
      </c>
      <c r="C115" s="11"/>
      <c r="D115" s="11"/>
      <c r="E115" s="12"/>
      <c r="F115" s="12"/>
      <c r="G115" s="12"/>
      <c r="H115" s="12"/>
      <c r="I115" s="9" t="s">
        <v>216</v>
      </c>
      <c r="J115" s="9" t="n">
        <v>744</v>
      </c>
      <c r="K115" s="9" t="s">
        <v>215</v>
      </c>
      <c r="L115" s="9" t="s">
        <v>198</v>
      </c>
      <c r="M115" s="9" t="s">
        <v>199</v>
      </c>
      <c r="N115" s="9" t="s">
        <v>200</v>
      </c>
      <c r="O115" s="12"/>
      <c r="P115" s="12"/>
      <c r="Q115" s="12"/>
      <c r="R115" s="13" t="n">
        <v>1900</v>
      </c>
      <c r="S115" s="14"/>
      <c r="T115" s="14"/>
      <c r="U115" s="14"/>
      <c r="V115" s="15" t="str">
        <f aca="false">IF(AND(S115="",T115=""),"",IFERROR(N(S115)*מקרא!$B$10+N(T115)*מקרא!$B$11,""))</f>
        <v/>
      </c>
      <c r="W115" s="12"/>
      <c r="X115" s="12"/>
      <c r="Y115" s="12"/>
      <c r="Z115" s="12"/>
      <c r="AA115" s="12"/>
      <c r="AB115" s="9" t="n">
        <v>31.61816</v>
      </c>
      <c r="AC115" s="9" t="n">
        <v>34.61345</v>
      </c>
      <c r="AD115" s="16" t="s">
        <v>84</v>
      </c>
      <c r="AE115" s="16" t="s">
        <v>77</v>
      </c>
      <c r="AF115" s="12"/>
    </row>
    <row r="116" customFormat="false" ht="15" hidden="false" customHeight="false" outlineLevel="0" collapsed="false">
      <c r="A116" s="9" t="n">
        <v>115</v>
      </c>
      <c r="B116" s="10" t="str">
        <f aca="false">IF(C116="",IF(D116="",I116,"החווה של "&amp;D116),IF(D116="",C116,C116&amp;" - החווה של "&amp;D116))</f>
        <v>אחוזם</v>
      </c>
      <c r="C116" s="11"/>
      <c r="D116" s="11"/>
      <c r="E116" s="12"/>
      <c r="F116" s="12"/>
      <c r="G116" s="12"/>
      <c r="H116" s="12"/>
      <c r="I116" s="9" t="s">
        <v>217</v>
      </c>
      <c r="J116" s="9" t="n">
        <v>821</v>
      </c>
      <c r="K116" s="9" t="s">
        <v>90</v>
      </c>
      <c r="L116" s="9" t="s">
        <v>218</v>
      </c>
      <c r="M116" s="9" t="s">
        <v>199</v>
      </c>
      <c r="N116" s="9" t="s">
        <v>219</v>
      </c>
      <c r="O116" s="12"/>
      <c r="P116" s="12"/>
      <c r="Q116" s="12"/>
      <c r="R116" s="13" t="n">
        <v>1900</v>
      </c>
      <c r="S116" s="14"/>
      <c r="T116" s="14"/>
      <c r="U116" s="14"/>
      <c r="V116" s="15" t="str">
        <f aca="false">IF(AND(S116="",T116=""),"",IFERROR(N(S116)*מקרא!$B$10+N(T116)*מקרא!$B$11,""))</f>
        <v/>
      </c>
      <c r="W116" s="12"/>
      <c r="X116" s="12"/>
      <c r="Y116" s="12"/>
      <c r="Z116" s="12"/>
      <c r="AA116" s="12"/>
      <c r="AB116" s="9" t="n">
        <v>31.55332</v>
      </c>
      <c r="AC116" s="9" t="n">
        <v>34.77015</v>
      </c>
      <c r="AD116" s="16" t="s">
        <v>84</v>
      </c>
      <c r="AE116" s="16" t="s">
        <v>77</v>
      </c>
      <c r="AF116" s="12"/>
    </row>
    <row r="117" customFormat="false" ht="15" hidden="false" customHeight="false" outlineLevel="0" collapsed="false">
      <c r="A117" s="9" t="n">
        <v>116</v>
      </c>
      <c r="B117" s="10" t="str">
        <f aca="false">IF(C117="",IF(D117="",I117,"החווה של "&amp;D117),IF(D117="",C117,C117&amp;" - החווה של "&amp;D117))</f>
        <v>זהר</v>
      </c>
      <c r="C117" s="11"/>
      <c r="D117" s="11"/>
      <c r="E117" s="12"/>
      <c r="F117" s="12"/>
      <c r="G117" s="12"/>
      <c r="H117" s="12"/>
      <c r="I117" s="9" t="s">
        <v>220</v>
      </c>
      <c r="J117" s="9" t="n">
        <v>44</v>
      </c>
      <c r="K117" s="9" t="s">
        <v>90</v>
      </c>
      <c r="L117" s="9" t="s">
        <v>218</v>
      </c>
      <c r="M117" s="9" t="s">
        <v>199</v>
      </c>
      <c r="N117" s="9" t="s">
        <v>219</v>
      </c>
      <c r="O117" s="12"/>
      <c r="P117" s="12"/>
      <c r="Q117" s="12"/>
      <c r="R117" s="13" t="n">
        <v>1900</v>
      </c>
      <c r="S117" s="14"/>
      <c r="T117" s="14"/>
      <c r="U117" s="14"/>
      <c r="V117" s="15" t="str">
        <f aca="false">IF(AND(S117="",T117=""),"",IFERROR(N(S117)*מקרא!$B$10+N(T117)*מקרא!$B$11,""))</f>
        <v/>
      </c>
      <c r="W117" s="12"/>
      <c r="X117" s="12"/>
      <c r="Y117" s="12"/>
      <c r="Z117" s="12"/>
      <c r="AA117" s="12"/>
      <c r="AB117" s="9" t="n">
        <v>31.59533</v>
      </c>
      <c r="AC117" s="9" t="n">
        <v>34.69261</v>
      </c>
      <c r="AD117" s="16" t="s">
        <v>84</v>
      </c>
      <c r="AE117" s="16" t="s">
        <v>77</v>
      </c>
      <c r="AF117" s="12"/>
    </row>
    <row r="118" customFormat="false" ht="15" hidden="false" customHeight="false" outlineLevel="0" collapsed="false">
      <c r="A118" s="9" t="n">
        <v>117</v>
      </c>
      <c r="B118" s="10" t="str">
        <f aca="false">IF(C118="",IF(D118="",I118,"החווה של "&amp;D118),IF(D118="",C118,C118&amp;" - החווה של "&amp;D118))</f>
        <v>יד נתן</v>
      </c>
      <c r="C118" s="11"/>
      <c r="D118" s="11"/>
      <c r="E118" s="12"/>
      <c r="F118" s="12"/>
      <c r="G118" s="12"/>
      <c r="H118" s="12"/>
      <c r="I118" s="9" t="s">
        <v>221</v>
      </c>
      <c r="J118" s="9" t="n">
        <v>775</v>
      </c>
      <c r="K118" s="9" t="s">
        <v>90</v>
      </c>
      <c r="L118" s="9" t="s">
        <v>218</v>
      </c>
      <c r="M118" s="9" t="s">
        <v>199</v>
      </c>
      <c r="N118" s="9" t="s">
        <v>219</v>
      </c>
      <c r="O118" s="12"/>
      <c r="P118" s="12"/>
      <c r="Q118" s="12"/>
      <c r="R118" s="13" t="n">
        <v>1900</v>
      </c>
      <c r="S118" s="14"/>
      <c r="T118" s="14"/>
      <c r="U118" s="14"/>
      <c r="V118" s="15" t="str">
        <f aca="false">IF(AND(S118="",T118=""),"",IFERROR(N(S118)*מקרא!$B$10+N(T118)*מקרא!$B$11,""))</f>
        <v/>
      </c>
      <c r="W118" s="12"/>
      <c r="X118" s="12"/>
      <c r="Y118" s="12"/>
      <c r="Z118" s="12"/>
      <c r="AA118" s="12"/>
      <c r="AB118" s="9" t="n">
        <v>31.65237</v>
      </c>
      <c r="AC118" s="9" t="n">
        <v>34.70548</v>
      </c>
      <c r="AD118" s="16" t="s">
        <v>84</v>
      </c>
      <c r="AE118" s="16" t="s">
        <v>77</v>
      </c>
      <c r="AF118" s="12"/>
    </row>
    <row r="119" customFormat="false" ht="15" hidden="false" customHeight="false" outlineLevel="0" collapsed="false">
      <c r="A119" s="9" t="n">
        <v>118</v>
      </c>
      <c r="B119" s="10" t="str">
        <f aca="false">IF(C119="",IF(D119="",I119,"החווה של "&amp;D119),IF(D119="",C119,C119&amp;" - החווה של "&amp;D119))</f>
        <v>לכיש</v>
      </c>
      <c r="C119" s="11"/>
      <c r="D119" s="11"/>
      <c r="E119" s="12"/>
      <c r="F119" s="12"/>
      <c r="G119" s="12"/>
      <c r="H119" s="12"/>
      <c r="I119" s="9" t="s">
        <v>218</v>
      </c>
      <c r="J119" s="9" t="n">
        <v>24</v>
      </c>
      <c r="K119" s="9" t="s">
        <v>90</v>
      </c>
      <c r="L119" s="9" t="s">
        <v>218</v>
      </c>
      <c r="M119" s="9" t="s">
        <v>199</v>
      </c>
      <c r="N119" s="9" t="s">
        <v>219</v>
      </c>
      <c r="O119" s="12"/>
      <c r="P119" s="12"/>
      <c r="Q119" s="12"/>
      <c r="R119" s="13" t="n">
        <v>1900</v>
      </c>
      <c r="S119" s="14"/>
      <c r="T119" s="14"/>
      <c r="U119" s="14"/>
      <c r="V119" s="15" t="str">
        <f aca="false">IF(AND(S119="",T119=""),"",IFERROR(N(S119)*מקרא!$B$10+N(T119)*מקרא!$B$11,""))</f>
        <v/>
      </c>
      <c r="W119" s="12"/>
      <c r="X119" s="12"/>
      <c r="Y119" s="12"/>
      <c r="Z119" s="12"/>
      <c r="AA119" s="12"/>
      <c r="AB119" s="9" t="n">
        <v>31.56121</v>
      </c>
      <c r="AC119" s="9" t="n">
        <v>34.84205</v>
      </c>
      <c r="AD119" s="16" t="s">
        <v>84</v>
      </c>
      <c r="AE119" s="16" t="s">
        <v>77</v>
      </c>
      <c r="AF119" s="12"/>
    </row>
    <row r="120" customFormat="false" ht="15" hidden="false" customHeight="false" outlineLevel="0" collapsed="false">
      <c r="A120" s="9" t="n">
        <v>119</v>
      </c>
      <c r="B120" s="10" t="str">
        <f aca="false">IF(C120="",IF(D120="",I120,"החווה של "&amp;D120),IF(D120="",C120,C120&amp;" - החווה של "&amp;D120))</f>
        <v>מנוחה</v>
      </c>
      <c r="C120" s="11"/>
      <c r="D120" s="11"/>
      <c r="E120" s="12"/>
      <c r="F120" s="12"/>
      <c r="G120" s="12"/>
      <c r="H120" s="12"/>
      <c r="I120" s="9" t="s">
        <v>222</v>
      </c>
      <c r="J120" s="9" t="n">
        <v>2030</v>
      </c>
      <c r="K120" s="9" t="s">
        <v>90</v>
      </c>
      <c r="L120" s="9" t="s">
        <v>218</v>
      </c>
      <c r="M120" s="9" t="s">
        <v>199</v>
      </c>
      <c r="N120" s="9" t="s">
        <v>219</v>
      </c>
      <c r="O120" s="12"/>
      <c r="P120" s="12"/>
      <c r="Q120" s="12"/>
      <c r="R120" s="13" t="n">
        <v>1900</v>
      </c>
      <c r="S120" s="14"/>
      <c r="T120" s="14"/>
      <c r="U120" s="14"/>
      <c r="V120" s="15" t="str">
        <f aca="false">IF(AND(S120="",T120=""),"",IFERROR(N(S120)*מקרא!$B$10+N(T120)*מקרא!$B$11,""))</f>
        <v/>
      </c>
      <c r="W120" s="12"/>
      <c r="X120" s="12"/>
      <c r="Y120" s="12"/>
      <c r="Z120" s="12"/>
      <c r="AA120" s="12"/>
      <c r="AB120" s="9" t="n">
        <v>31.65777</v>
      </c>
      <c r="AC120" s="9" t="n">
        <v>34.7763</v>
      </c>
      <c r="AD120" s="16" t="s">
        <v>84</v>
      </c>
      <c r="AE120" s="16" t="s">
        <v>77</v>
      </c>
      <c r="AF120" s="12"/>
    </row>
    <row r="121" customFormat="false" ht="15" hidden="false" customHeight="false" outlineLevel="0" collapsed="false">
      <c r="A121" s="9" t="n">
        <v>120</v>
      </c>
      <c r="B121" s="10" t="str">
        <f aca="false">IF(C121="",IF(D121="",I121,"החווה של "&amp;D121),IF(D121="",C121,C121&amp;" - החווה של "&amp;D121))</f>
        <v>נגה</v>
      </c>
      <c r="C121" s="11"/>
      <c r="D121" s="11"/>
      <c r="E121" s="12"/>
      <c r="F121" s="12"/>
      <c r="G121" s="12"/>
      <c r="H121" s="12"/>
      <c r="I121" s="9" t="s">
        <v>223</v>
      </c>
      <c r="J121" s="9" t="n">
        <v>55</v>
      </c>
      <c r="K121" s="9" t="s">
        <v>90</v>
      </c>
      <c r="L121" s="9" t="s">
        <v>218</v>
      </c>
      <c r="M121" s="9" t="s">
        <v>199</v>
      </c>
      <c r="N121" s="9" t="s">
        <v>219</v>
      </c>
      <c r="O121" s="12"/>
      <c r="P121" s="12"/>
      <c r="Q121" s="12"/>
      <c r="R121" s="13" t="n">
        <v>1900</v>
      </c>
      <c r="S121" s="14"/>
      <c r="T121" s="14"/>
      <c r="U121" s="14"/>
      <c r="V121" s="15" t="str">
        <f aca="false">IF(AND(S121="",T121=""),"",IFERROR(N(S121)*מקרא!$B$10+N(T121)*מקרא!$B$11,""))</f>
        <v/>
      </c>
      <c r="W121" s="12"/>
      <c r="X121" s="12"/>
      <c r="Y121" s="12"/>
      <c r="Z121" s="12"/>
      <c r="AA121" s="12"/>
      <c r="AB121" s="9" t="n">
        <v>31.62437</v>
      </c>
      <c r="AC121" s="9" t="n">
        <v>34.69467</v>
      </c>
      <c r="AD121" s="16" t="s">
        <v>84</v>
      </c>
      <c r="AE121" s="16" t="s">
        <v>77</v>
      </c>
      <c r="AF121" s="12"/>
    </row>
    <row r="122" customFormat="false" ht="15" hidden="false" customHeight="false" outlineLevel="0" collapsed="false">
      <c r="A122" s="9" t="n">
        <v>121</v>
      </c>
      <c r="B122" s="10" t="str">
        <f aca="false">IF(C122="",IF(D122="",I122,"החווה של "&amp;D122),IF(D122="",C122,C122&amp;" - החווה של "&amp;D122))</f>
        <v>ניר חן</v>
      </c>
      <c r="C122" s="11"/>
      <c r="D122" s="11"/>
      <c r="E122" s="12"/>
      <c r="F122" s="12"/>
      <c r="G122" s="12"/>
      <c r="H122" s="12"/>
      <c r="I122" s="9" t="s">
        <v>224</v>
      </c>
      <c r="J122" s="9" t="n">
        <v>11</v>
      </c>
      <c r="K122" s="9" t="s">
        <v>90</v>
      </c>
      <c r="L122" s="9" t="s">
        <v>218</v>
      </c>
      <c r="M122" s="9" t="s">
        <v>199</v>
      </c>
      <c r="N122" s="9" t="s">
        <v>219</v>
      </c>
      <c r="O122" s="12"/>
      <c r="P122" s="12"/>
      <c r="Q122" s="12"/>
      <c r="R122" s="13" t="n">
        <v>1900</v>
      </c>
      <c r="S122" s="14"/>
      <c r="T122" s="14"/>
      <c r="U122" s="14"/>
      <c r="V122" s="15" t="str">
        <f aca="false">IF(AND(S122="",T122=""),"",IFERROR(N(S122)*מקרא!$B$10+N(T122)*מקרא!$B$11,""))</f>
        <v/>
      </c>
      <c r="W122" s="12"/>
      <c r="X122" s="12"/>
      <c r="Y122" s="12"/>
      <c r="Z122" s="12"/>
      <c r="AA122" s="12"/>
      <c r="AB122" s="9" t="n">
        <v>31.60867</v>
      </c>
      <c r="AC122" s="9" t="n">
        <v>34.71456</v>
      </c>
      <c r="AD122" s="16" t="s">
        <v>84</v>
      </c>
      <c r="AE122" s="16" t="s">
        <v>77</v>
      </c>
      <c r="AF122" s="12"/>
    </row>
    <row r="123" customFormat="false" ht="15" hidden="false" customHeight="false" outlineLevel="0" collapsed="false">
      <c r="A123" s="9" t="n">
        <v>122</v>
      </c>
      <c r="B123" s="10" t="str">
        <f aca="false">IF(C123="",IF(D123="",I123,"החווה של "&amp;D123),IF(D123="",C123,C123&amp;" - החווה של "&amp;D123))</f>
        <v>עוצם</v>
      </c>
      <c r="C123" s="11"/>
      <c r="D123" s="11"/>
      <c r="E123" s="12"/>
      <c r="F123" s="12"/>
      <c r="G123" s="12"/>
      <c r="H123" s="12"/>
      <c r="I123" s="9" t="s">
        <v>225</v>
      </c>
      <c r="J123" s="9" t="n">
        <v>32</v>
      </c>
      <c r="K123" s="9" t="s">
        <v>90</v>
      </c>
      <c r="L123" s="9" t="s">
        <v>218</v>
      </c>
      <c r="M123" s="9" t="s">
        <v>199</v>
      </c>
      <c r="N123" s="9" t="s">
        <v>219</v>
      </c>
      <c r="O123" s="12"/>
      <c r="P123" s="12"/>
      <c r="Q123" s="12"/>
      <c r="R123" s="13" t="n">
        <v>1900</v>
      </c>
      <c r="S123" s="14"/>
      <c r="T123" s="14"/>
      <c r="U123" s="14"/>
      <c r="V123" s="15" t="str">
        <f aca="false">IF(AND(S123="",T123=""),"",IFERROR(N(S123)*מקרא!$B$10+N(T123)*מקרא!$B$11,""))</f>
        <v/>
      </c>
      <c r="W123" s="12"/>
      <c r="X123" s="12"/>
      <c r="Y123" s="12"/>
      <c r="Z123" s="12"/>
      <c r="AA123" s="12"/>
      <c r="AB123" s="9" t="n">
        <v>31.63677</v>
      </c>
      <c r="AC123" s="9" t="n">
        <v>34.70377</v>
      </c>
      <c r="AD123" s="16" t="s">
        <v>84</v>
      </c>
      <c r="AE123" s="16" t="s">
        <v>77</v>
      </c>
      <c r="AF123" s="12"/>
    </row>
    <row r="124" customFormat="false" ht="15" hidden="false" customHeight="false" outlineLevel="0" collapsed="false">
      <c r="A124" s="9" t="n">
        <v>123</v>
      </c>
      <c r="B124" s="10" t="str">
        <f aca="false">IF(C124="",IF(D124="",I124,"החווה של "&amp;D124),IF(D124="",C124,C124&amp;" - החווה של "&amp;D124))</f>
        <v>שדה דוד</v>
      </c>
      <c r="C124" s="11"/>
      <c r="D124" s="11"/>
      <c r="E124" s="12"/>
      <c r="F124" s="12"/>
      <c r="G124" s="12"/>
      <c r="H124" s="12"/>
      <c r="I124" s="9" t="s">
        <v>226</v>
      </c>
      <c r="J124" s="9" t="n">
        <v>36</v>
      </c>
      <c r="K124" s="9" t="s">
        <v>90</v>
      </c>
      <c r="L124" s="9" t="s">
        <v>218</v>
      </c>
      <c r="M124" s="9" t="s">
        <v>199</v>
      </c>
      <c r="N124" s="9" t="s">
        <v>219</v>
      </c>
      <c r="O124" s="12"/>
      <c r="P124" s="12"/>
      <c r="Q124" s="12"/>
      <c r="R124" s="13" t="n">
        <v>1900</v>
      </c>
      <c r="S124" s="14"/>
      <c r="T124" s="14"/>
      <c r="U124" s="14"/>
      <c r="V124" s="15" t="str">
        <f aca="false">IF(AND(S124="",T124=""),"",IFERROR(N(S124)*מקרא!$B$10+N(T124)*מקרא!$B$11,""))</f>
        <v/>
      </c>
      <c r="W124" s="12"/>
      <c r="X124" s="12"/>
      <c r="Y124" s="12"/>
      <c r="Z124" s="12"/>
      <c r="AA124" s="12"/>
      <c r="AB124" s="9" t="n">
        <v>31.57617</v>
      </c>
      <c r="AC124" s="9" t="n">
        <v>34.68397</v>
      </c>
      <c r="AD124" s="16" t="s">
        <v>84</v>
      </c>
      <c r="AE124" s="16" t="s">
        <v>77</v>
      </c>
      <c r="AF124" s="12"/>
    </row>
    <row r="125" customFormat="false" ht="15" hidden="false" customHeight="false" outlineLevel="0" collapsed="false">
      <c r="A125" s="9" t="n">
        <v>124</v>
      </c>
      <c r="B125" s="10" t="str">
        <f aca="false">IF(C125="",IF(D125="",I125,"החווה של "&amp;D125),IF(D125="",C125,C125&amp;" - החווה של "&amp;D125))</f>
        <v>שדה משה</v>
      </c>
      <c r="C125" s="11"/>
      <c r="D125" s="11"/>
      <c r="E125" s="12"/>
      <c r="F125" s="12"/>
      <c r="G125" s="12"/>
      <c r="H125" s="12"/>
      <c r="I125" s="9" t="s">
        <v>227</v>
      </c>
      <c r="J125" s="9" t="n">
        <v>18</v>
      </c>
      <c r="K125" s="9" t="s">
        <v>90</v>
      </c>
      <c r="L125" s="9" t="s">
        <v>218</v>
      </c>
      <c r="M125" s="9" t="s">
        <v>199</v>
      </c>
      <c r="N125" s="9" t="s">
        <v>219</v>
      </c>
      <c r="O125" s="12"/>
      <c r="P125" s="12"/>
      <c r="Q125" s="12"/>
      <c r="R125" s="13" t="n">
        <v>1900</v>
      </c>
      <c r="S125" s="14"/>
      <c r="T125" s="14"/>
      <c r="U125" s="14"/>
      <c r="V125" s="15" t="str">
        <f aca="false">IF(AND(S125="",T125=""),"",IFERROR(N(S125)*מקרא!$B$10+N(T125)*מקרא!$B$11,""))</f>
        <v/>
      </c>
      <c r="W125" s="12"/>
      <c r="X125" s="12"/>
      <c r="Y125" s="12"/>
      <c r="Z125" s="12"/>
      <c r="AA125" s="12"/>
      <c r="AB125" s="9" t="n">
        <v>31.61132</v>
      </c>
      <c r="AC125" s="9" t="n">
        <v>34.80139</v>
      </c>
      <c r="AD125" s="16" t="s">
        <v>84</v>
      </c>
      <c r="AE125" s="16" t="s">
        <v>77</v>
      </c>
      <c r="AF125" s="12"/>
    </row>
    <row r="126" customFormat="false" ht="15" hidden="false" customHeight="false" outlineLevel="0" collapsed="false">
      <c r="A126" s="9" t="n">
        <v>125</v>
      </c>
      <c r="B126" s="10" t="str">
        <f aca="false">IF(C126="",IF(D126="",I126,"החווה של "&amp;D126),IF(D126="",C126,C126&amp;" - החווה של "&amp;D126))</f>
        <v>שחר</v>
      </c>
      <c r="C126" s="11"/>
      <c r="D126" s="11"/>
      <c r="E126" s="12"/>
      <c r="F126" s="12"/>
      <c r="G126" s="12"/>
      <c r="H126" s="12"/>
      <c r="I126" s="9" t="s">
        <v>228</v>
      </c>
      <c r="J126" s="9" t="n">
        <v>7</v>
      </c>
      <c r="K126" s="9" t="s">
        <v>90</v>
      </c>
      <c r="L126" s="9" t="s">
        <v>218</v>
      </c>
      <c r="M126" s="9" t="s">
        <v>199</v>
      </c>
      <c r="N126" s="9" t="s">
        <v>219</v>
      </c>
      <c r="O126" s="12"/>
      <c r="P126" s="12"/>
      <c r="Q126" s="12"/>
      <c r="R126" s="13" t="n">
        <v>1900</v>
      </c>
      <c r="S126" s="14"/>
      <c r="T126" s="14"/>
      <c r="U126" s="14"/>
      <c r="V126" s="15" t="str">
        <f aca="false">IF(AND(S126="",T126=""),"",IFERROR(N(S126)*מקרא!$B$10+N(T126)*מקרא!$B$11,""))</f>
        <v/>
      </c>
      <c r="W126" s="12"/>
      <c r="X126" s="12"/>
      <c r="Y126" s="12"/>
      <c r="Z126" s="12"/>
      <c r="AA126" s="12"/>
      <c r="AB126" s="9" t="n">
        <v>31.61971</v>
      </c>
      <c r="AC126" s="9" t="n">
        <v>34.72547</v>
      </c>
      <c r="AD126" s="16" t="s">
        <v>84</v>
      </c>
      <c r="AE126" s="16" t="s">
        <v>77</v>
      </c>
      <c r="AF126" s="12"/>
    </row>
    <row r="127" customFormat="false" ht="15" hidden="false" customHeight="false" outlineLevel="0" collapsed="false">
      <c r="A127" s="9" t="n">
        <v>126</v>
      </c>
      <c r="B127" s="10" t="str">
        <f aca="false">IF(C127="",IF(D127="",I127,"החווה של "&amp;D127),IF(D127="",C127,C127&amp;" - החווה של "&amp;D127))</f>
        <v>תלמים</v>
      </c>
      <c r="C127" s="11"/>
      <c r="D127" s="11"/>
      <c r="E127" s="12"/>
      <c r="F127" s="12"/>
      <c r="G127" s="12"/>
      <c r="H127" s="12"/>
      <c r="I127" s="9" t="s">
        <v>229</v>
      </c>
      <c r="J127" s="9" t="n">
        <v>814</v>
      </c>
      <c r="K127" s="9" t="s">
        <v>90</v>
      </c>
      <c r="L127" s="9" t="s">
        <v>218</v>
      </c>
      <c r="M127" s="9" t="s">
        <v>199</v>
      </c>
      <c r="N127" s="9" t="s">
        <v>219</v>
      </c>
      <c r="O127" s="12"/>
      <c r="P127" s="12"/>
      <c r="Q127" s="12"/>
      <c r="R127" s="13" t="n">
        <v>1900</v>
      </c>
      <c r="S127" s="14"/>
      <c r="T127" s="14"/>
      <c r="U127" s="14"/>
      <c r="V127" s="15" t="str">
        <f aca="false">IF(AND(S127="",T127=""),"",IFERROR(N(S127)*מקרא!$B$10+N(T127)*מקרא!$B$11,""))</f>
        <v/>
      </c>
      <c r="W127" s="12"/>
      <c r="X127" s="12"/>
      <c r="Y127" s="12"/>
      <c r="Z127" s="12"/>
      <c r="AA127" s="12"/>
      <c r="AB127" s="9" t="n">
        <v>31.56431</v>
      </c>
      <c r="AC127" s="9" t="n">
        <v>34.67193</v>
      </c>
      <c r="AD127" s="16" t="s">
        <v>84</v>
      </c>
      <c r="AE127" s="16" t="s">
        <v>77</v>
      </c>
      <c r="AF127" s="12"/>
    </row>
    <row r="128" customFormat="false" ht="15" hidden="false" customHeight="false" outlineLevel="0" collapsed="false">
      <c r="A128" s="9" t="n">
        <v>127</v>
      </c>
      <c r="B128" s="10" t="str">
        <f aca="false">IF(C128="",IF(D128="",I128,"החווה של "&amp;D128),IF(D128="",C128,C128&amp;" - החווה של "&amp;D128))</f>
        <v>שקף</v>
      </c>
      <c r="C128" s="11"/>
      <c r="D128" s="11"/>
      <c r="E128" s="12"/>
      <c r="F128" s="12"/>
      <c r="G128" s="12"/>
      <c r="H128" s="12"/>
      <c r="I128" s="9" t="s">
        <v>230</v>
      </c>
      <c r="J128" s="9" t="n">
        <v>1233</v>
      </c>
      <c r="K128" s="9" t="s">
        <v>90</v>
      </c>
      <c r="L128" s="9" t="s">
        <v>218</v>
      </c>
      <c r="M128" s="9" t="s">
        <v>199</v>
      </c>
      <c r="N128" s="9" t="s">
        <v>219</v>
      </c>
      <c r="O128" s="12"/>
      <c r="P128" s="12"/>
      <c r="Q128" s="12"/>
      <c r="R128" s="13" t="n">
        <v>1900</v>
      </c>
      <c r="S128" s="14"/>
      <c r="T128" s="14"/>
      <c r="U128" s="14"/>
      <c r="V128" s="15" t="str">
        <f aca="false">IF(AND(S128="",T128=""),"",IFERROR(N(S128)*מקרא!$B$10+N(T128)*מקרא!$B$11,""))</f>
        <v/>
      </c>
      <c r="W128" s="12"/>
      <c r="X128" s="12"/>
      <c r="Y128" s="12"/>
      <c r="Z128" s="12"/>
      <c r="AA128" s="12"/>
      <c r="AB128" s="9" t="n">
        <v>31.5149</v>
      </c>
      <c r="AC128" s="9" t="n">
        <v>34.93592</v>
      </c>
      <c r="AD128" s="16" t="s">
        <v>84</v>
      </c>
      <c r="AE128" s="16" t="s">
        <v>77</v>
      </c>
      <c r="AF128" s="12"/>
    </row>
    <row r="129" customFormat="false" ht="15" hidden="false" customHeight="false" outlineLevel="0" collapsed="false">
      <c r="A129" s="9" t="n">
        <v>128</v>
      </c>
      <c r="B129" s="10" t="str">
        <f aca="false">IF(C129="",IF(D129="",I129,"החווה של "&amp;D129),IF(D129="",C129,C129&amp;" - החווה של "&amp;D129))</f>
        <v>אמציה</v>
      </c>
      <c r="C129" s="11"/>
      <c r="D129" s="11"/>
      <c r="E129" s="12"/>
      <c r="F129" s="12"/>
      <c r="G129" s="12"/>
      <c r="H129" s="12"/>
      <c r="I129" s="9" t="s">
        <v>231</v>
      </c>
      <c r="J129" s="9" t="n">
        <v>23</v>
      </c>
      <c r="K129" s="9" t="s">
        <v>215</v>
      </c>
      <c r="L129" s="9" t="s">
        <v>218</v>
      </c>
      <c r="M129" s="9" t="s">
        <v>199</v>
      </c>
      <c r="N129" s="9" t="s">
        <v>219</v>
      </c>
      <c r="O129" s="12"/>
      <c r="P129" s="12"/>
      <c r="Q129" s="12"/>
      <c r="R129" s="13" t="n">
        <v>1900</v>
      </c>
      <c r="S129" s="14"/>
      <c r="T129" s="14"/>
      <c r="U129" s="14"/>
      <c r="V129" s="15" t="str">
        <f aca="false">IF(AND(S129="",T129=""),"",IFERROR(N(S129)*מקרא!$B$10+N(T129)*מקרא!$B$11,""))</f>
        <v/>
      </c>
      <c r="W129" s="12"/>
      <c r="X129" s="12"/>
      <c r="Y129" s="12"/>
      <c r="Z129" s="12"/>
      <c r="AA129" s="12"/>
      <c r="AB129" s="9" t="n">
        <v>31.53235</v>
      </c>
      <c r="AC129" s="9" t="n">
        <v>34.91365</v>
      </c>
      <c r="AD129" s="16" t="s">
        <v>84</v>
      </c>
      <c r="AE129" s="16" t="s">
        <v>77</v>
      </c>
      <c r="AF129" s="12"/>
    </row>
    <row r="130" customFormat="false" ht="15" hidden="false" customHeight="false" outlineLevel="0" collapsed="false">
      <c r="A130" s="9" t="n">
        <v>129</v>
      </c>
      <c r="B130" s="10" t="str">
        <f aca="false">IF(C130="",IF(D130="",I130,"החווה של "&amp;D130),IF(D130="",C130,C130&amp;" - החווה של "&amp;D130))</f>
        <v>עין צורים</v>
      </c>
      <c r="C130" s="11"/>
      <c r="D130" s="11"/>
      <c r="E130" s="12"/>
      <c r="F130" s="12"/>
      <c r="G130" s="12"/>
      <c r="H130" s="12"/>
      <c r="I130" s="9" t="s">
        <v>232</v>
      </c>
      <c r="J130" s="9" t="n">
        <v>622</v>
      </c>
      <c r="K130" s="9" t="s">
        <v>80</v>
      </c>
      <c r="L130" s="9" t="s">
        <v>233</v>
      </c>
      <c r="M130" s="9" t="s">
        <v>199</v>
      </c>
      <c r="N130" s="9" t="s">
        <v>234</v>
      </c>
      <c r="O130" s="12"/>
      <c r="P130" s="12"/>
      <c r="Q130" s="12"/>
      <c r="R130" s="13" t="n">
        <v>4000</v>
      </c>
      <c r="S130" s="14"/>
      <c r="T130" s="14"/>
      <c r="U130" s="14"/>
      <c r="V130" s="15" t="str">
        <f aca="false">IF(AND(S130="",T130=""),"",IFERROR(N(S130)*מקרא!$B$10+N(T130)*מקרא!$B$11,""))</f>
        <v/>
      </c>
      <c r="W130" s="12"/>
      <c r="X130" s="12"/>
      <c r="Y130" s="12"/>
      <c r="Z130" s="12"/>
      <c r="AA130" s="12"/>
      <c r="AB130" s="9" t="n">
        <v>31.69581</v>
      </c>
      <c r="AC130" s="9" t="n">
        <v>34.7198</v>
      </c>
      <c r="AD130" s="16" t="s">
        <v>84</v>
      </c>
      <c r="AE130" s="16" t="s">
        <v>77</v>
      </c>
      <c r="AF130" s="12"/>
    </row>
    <row r="131" customFormat="false" ht="15" hidden="false" customHeight="false" outlineLevel="0" collapsed="false">
      <c r="A131" s="9" t="n">
        <v>130</v>
      </c>
      <c r="B131" s="10" t="str">
        <f aca="false">IF(C131="",IF(D131="",I131,"החווה של "&amp;D131),IF(D131="",C131,C131&amp;" - החווה של "&amp;D131))</f>
        <v>איתן</v>
      </c>
      <c r="C131" s="11"/>
      <c r="D131" s="11"/>
      <c r="E131" s="12"/>
      <c r="F131" s="12"/>
      <c r="G131" s="12"/>
      <c r="H131" s="12"/>
      <c r="I131" s="9" t="s">
        <v>235</v>
      </c>
      <c r="J131" s="9" t="n">
        <v>37</v>
      </c>
      <c r="K131" s="9" t="s">
        <v>90</v>
      </c>
      <c r="L131" s="9" t="s">
        <v>233</v>
      </c>
      <c r="M131" s="9" t="s">
        <v>199</v>
      </c>
      <c r="N131" s="9" t="s">
        <v>234</v>
      </c>
      <c r="O131" s="12"/>
      <c r="P131" s="12"/>
      <c r="Q131" s="12"/>
      <c r="R131" s="13" t="n">
        <v>1900</v>
      </c>
      <c r="S131" s="14"/>
      <c r="T131" s="14"/>
      <c r="U131" s="14"/>
      <c r="V131" s="15" t="str">
        <f aca="false">IF(AND(S131="",T131=""),"",IFERROR(N(S131)*מקרא!$B$10+N(T131)*מקרא!$B$11,""))</f>
        <v/>
      </c>
      <c r="W131" s="12"/>
      <c r="X131" s="12"/>
      <c r="Y131" s="12"/>
      <c r="Z131" s="12"/>
      <c r="AA131" s="12"/>
      <c r="AB131" s="9" t="n">
        <v>31.57227</v>
      </c>
      <c r="AC131" s="9" t="n">
        <v>34.74815</v>
      </c>
      <c r="AD131" s="16" t="s">
        <v>84</v>
      </c>
      <c r="AE131" s="16" t="s">
        <v>77</v>
      </c>
      <c r="AF131" s="12"/>
    </row>
    <row r="132" customFormat="false" ht="15" hidden="false" customHeight="false" outlineLevel="0" collapsed="false">
      <c r="A132" s="9" t="n">
        <v>131</v>
      </c>
      <c r="B132" s="10" t="str">
        <f aca="false">IF(C132="",IF(D132="",I132,"החווה של "&amp;D132),IF(D132="",C132,C132&amp;" - החווה של "&amp;D132))</f>
        <v>זבדיאל</v>
      </c>
      <c r="C132" s="11"/>
      <c r="D132" s="11"/>
      <c r="E132" s="12"/>
      <c r="F132" s="12"/>
      <c r="G132" s="12"/>
      <c r="H132" s="12"/>
      <c r="I132" s="9" t="s">
        <v>236</v>
      </c>
      <c r="J132" s="9" t="n">
        <v>815</v>
      </c>
      <c r="K132" s="9" t="s">
        <v>90</v>
      </c>
      <c r="L132" s="9" t="s">
        <v>233</v>
      </c>
      <c r="M132" s="9" t="s">
        <v>199</v>
      </c>
      <c r="N132" s="9" t="s">
        <v>234</v>
      </c>
      <c r="O132" s="12"/>
      <c r="P132" s="12"/>
      <c r="Q132" s="12"/>
      <c r="R132" s="13" t="n">
        <v>1900</v>
      </c>
      <c r="S132" s="14"/>
      <c r="T132" s="14"/>
      <c r="U132" s="14"/>
      <c r="V132" s="15" t="str">
        <f aca="false">IF(AND(S132="",T132=""),"",IFERROR(N(S132)*מקרא!$B$10+N(T132)*מקרא!$B$11,""))</f>
        <v/>
      </c>
      <c r="W132" s="12"/>
      <c r="X132" s="12"/>
      <c r="Y132" s="12"/>
      <c r="Z132" s="12"/>
      <c r="AA132" s="12"/>
      <c r="AB132" s="9" t="n">
        <v>31.65889</v>
      </c>
      <c r="AC132" s="9" t="n">
        <v>34.76006</v>
      </c>
      <c r="AD132" s="16" t="s">
        <v>84</v>
      </c>
      <c r="AE132" s="16" t="s">
        <v>77</v>
      </c>
      <c r="AF132" s="12"/>
    </row>
    <row r="133" customFormat="false" ht="15" hidden="false" customHeight="false" outlineLevel="0" collapsed="false">
      <c r="A133" s="9" t="n">
        <v>132</v>
      </c>
      <c r="B133" s="10" t="str">
        <f aca="false">IF(C133="",IF(D133="",I133,"החווה של "&amp;D133),IF(D133="",C133,C133&amp;" - החווה של "&amp;D133))</f>
        <v>זרחיה</v>
      </c>
      <c r="C133" s="11"/>
      <c r="D133" s="11"/>
      <c r="E133" s="12"/>
      <c r="F133" s="12"/>
      <c r="G133" s="12"/>
      <c r="H133" s="12"/>
      <c r="I133" s="9" t="s">
        <v>237</v>
      </c>
      <c r="J133" s="9" t="n">
        <v>818</v>
      </c>
      <c r="K133" s="9" t="s">
        <v>90</v>
      </c>
      <c r="L133" s="9" t="s">
        <v>233</v>
      </c>
      <c r="M133" s="9" t="s">
        <v>199</v>
      </c>
      <c r="N133" s="9" t="s">
        <v>234</v>
      </c>
      <c r="O133" s="12"/>
      <c r="P133" s="12"/>
      <c r="Q133" s="12"/>
      <c r="R133" s="13" t="n">
        <v>1900</v>
      </c>
      <c r="S133" s="14"/>
      <c r="T133" s="14"/>
      <c r="U133" s="14"/>
      <c r="V133" s="15" t="str">
        <f aca="false">IF(AND(S133="",T133=""),"",IFERROR(N(S133)*מקרא!$B$10+N(T133)*מקרא!$B$11,""))</f>
        <v/>
      </c>
      <c r="W133" s="12"/>
      <c r="X133" s="12"/>
      <c r="Y133" s="12"/>
      <c r="Z133" s="12"/>
      <c r="AA133" s="12"/>
      <c r="AB133" s="9" t="n">
        <v>31.68156</v>
      </c>
      <c r="AC133" s="9" t="n">
        <v>34.7455</v>
      </c>
      <c r="AD133" s="16" t="s">
        <v>84</v>
      </c>
      <c r="AE133" s="16" t="s">
        <v>77</v>
      </c>
      <c r="AF133" s="12"/>
    </row>
    <row r="134" customFormat="false" ht="15" hidden="false" customHeight="false" outlineLevel="0" collapsed="false">
      <c r="A134" s="9" t="n">
        <v>133</v>
      </c>
      <c r="B134" s="10" t="str">
        <f aca="false">IF(C134="",IF(D134="",I134,"החווה של "&amp;D134),IF(D134="",C134,C134&amp;" - החווה של "&amp;D134))</f>
        <v>נועם</v>
      </c>
      <c r="C134" s="11"/>
      <c r="D134" s="11"/>
      <c r="E134" s="12"/>
      <c r="F134" s="12"/>
      <c r="G134" s="12"/>
      <c r="H134" s="12"/>
      <c r="I134" s="9" t="s">
        <v>238</v>
      </c>
      <c r="J134" s="9" t="n">
        <v>15</v>
      </c>
      <c r="K134" s="9" t="s">
        <v>90</v>
      </c>
      <c r="L134" s="9" t="s">
        <v>233</v>
      </c>
      <c r="M134" s="9" t="s">
        <v>199</v>
      </c>
      <c r="N134" s="9" t="s">
        <v>234</v>
      </c>
      <c r="O134" s="12"/>
      <c r="P134" s="12"/>
      <c r="Q134" s="12"/>
      <c r="R134" s="13" t="n">
        <v>1900</v>
      </c>
      <c r="S134" s="14"/>
      <c r="T134" s="14"/>
      <c r="U134" s="14"/>
      <c r="V134" s="15" t="str">
        <f aca="false">IF(AND(S134="",T134=""),"",IFERROR(N(S134)*מקרא!$B$10+N(T134)*מקרא!$B$11,""))</f>
        <v/>
      </c>
      <c r="W134" s="12"/>
      <c r="X134" s="12"/>
      <c r="Y134" s="12"/>
      <c r="Z134" s="12"/>
      <c r="AA134" s="12"/>
      <c r="AB134" s="9" t="n">
        <v>31.56799</v>
      </c>
      <c r="AC134" s="9" t="n">
        <v>34.78883</v>
      </c>
      <c r="AD134" s="16" t="s">
        <v>84</v>
      </c>
      <c r="AE134" s="16" t="s">
        <v>77</v>
      </c>
      <c r="AF134" s="12"/>
    </row>
    <row r="135" customFormat="false" ht="15" hidden="false" customHeight="false" outlineLevel="0" collapsed="false">
      <c r="A135" s="9" t="n">
        <v>134</v>
      </c>
      <c r="B135" s="10" t="str">
        <f aca="false">IF(C135="",IF(D135="",I135,"החווה של "&amp;D135),IF(D135="",C135,C135&amp;" - החווה של "&amp;D135))</f>
        <v>עוזה</v>
      </c>
      <c r="C135" s="11"/>
      <c r="D135" s="11"/>
      <c r="E135" s="12"/>
      <c r="F135" s="12"/>
      <c r="G135" s="12"/>
      <c r="H135" s="12"/>
      <c r="I135" s="9" t="s">
        <v>239</v>
      </c>
      <c r="J135" s="9" t="n">
        <v>826</v>
      </c>
      <c r="K135" s="9" t="s">
        <v>90</v>
      </c>
      <c r="L135" s="9" t="s">
        <v>233</v>
      </c>
      <c r="M135" s="9" t="s">
        <v>199</v>
      </c>
      <c r="N135" s="9" t="s">
        <v>234</v>
      </c>
      <c r="O135" s="12"/>
      <c r="P135" s="12"/>
      <c r="Q135" s="12"/>
      <c r="R135" s="13" t="n">
        <v>1900</v>
      </c>
      <c r="S135" s="14"/>
      <c r="T135" s="14"/>
      <c r="U135" s="14"/>
      <c r="V135" s="15" t="str">
        <f aca="false">IF(AND(S135="",T135=""),"",IFERROR(N(S135)*מקרא!$B$10+N(T135)*מקרא!$B$11,""))</f>
        <v/>
      </c>
      <c r="W135" s="12"/>
      <c r="X135" s="12"/>
      <c r="Y135" s="12"/>
      <c r="Z135" s="12"/>
      <c r="AA135" s="12"/>
      <c r="AB135" s="9" t="n">
        <v>31.59316</v>
      </c>
      <c r="AC135" s="9" t="n">
        <v>34.76427</v>
      </c>
      <c r="AD135" s="16" t="s">
        <v>84</v>
      </c>
      <c r="AE135" s="16" t="s">
        <v>77</v>
      </c>
      <c r="AF135" s="12"/>
    </row>
    <row r="136" customFormat="false" ht="15" hidden="false" customHeight="false" outlineLevel="0" collapsed="false">
      <c r="A136" s="9" t="n">
        <v>135</v>
      </c>
      <c r="B136" s="10" t="str">
        <f aca="false">IF(C136="",IF(D136="",I136,"החווה של "&amp;D136),IF(D136="",C136,C136&amp;" - החווה של "&amp;D136))</f>
        <v>קוממיות</v>
      </c>
      <c r="C136" s="11"/>
      <c r="D136" s="11"/>
      <c r="E136" s="12"/>
      <c r="F136" s="12"/>
      <c r="G136" s="12"/>
      <c r="H136" s="12"/>
      <c r="I136" s="9" t="s">
        <v>240</v>
      </c>
      <c r="J136" s="9" t="n">
        <v>766</v>
      </c>
      <c r="K136" s="9" t="s">
        <v>90</v>
      </c>
      <c r="L136" s="9" t="s">
        <v>233</v>
      </c>
      <c r="M136" s="9" t="s">
        <v>199</v>
      </c>
      <c r="N136" s="9" t="s">
        <v>234</v>
      </c>
      <c r="O136" s="12"/>
      <c r="P136" s="12"/>
      <c r="Q136" s="12"/>
      <c r="R136" s="13" t="n">
        <v>1900</v>
      </c>
      <c r="S136" s="14"/>
      <c r="T136" s="14"/>
      <c r="U136" s="14"/>
      <c r="V136" s="15" t="str">
        <f aca="false">IF(AND(S136="",T136=""),"",IFERROR(N(S136)*מקרא!$B$10+N(T136)*מקרא!$B$11,""))</f>
        <v/>
      </c>
      <c r="W136" s="12"/>
      <c r="X136" s="12"/>
      <c r="Y136" s="12"/>
      <c r="Z136" s="12"/>
      <c r="AA136" s="12"/>
      <c r="AB136" s="9" t="n">
        <v>31.66158</v>
      </c>
      <c r="AC136" s="9" t="n">
        <v>34.73074</v>
      </c>
      <c r="AD136" s="16" t="s">
        <v>84</v>
      </c>
      <c r="AE136" s="16" t="s">
        <v>77</v>
      </c>
      <c r="AF136" s="12"/>
    </row>
    <row r="137" customFormat="false" ht="15" hidden="false" customHeight="false" outlineLevel="0" collapsed="false">
      <c r="A137" s="9" t="n">
        <v>136</v>
      </c>
      <c r="B137" s="10" t="str">
        <f aca="false">IF(C137="",IF(D137="",I137,"החווה של "&amp;D137),IF(D137="",C137,C137&amp;" - החווה של "&amp;D137))</f>
        <v>רווחה</v>
      </c>
      <c r="C137" s="11"/>
      <c r="D137" s="11"/>
      <c r="E137" s="12"/>
      <c r="F137" s="12"/>
      <c r="G137" s="12"/>
      <c r="H137" s="12"/>
      <c r="I137" s="9" t="s">
        <v>241</v>
      </c>
      <c r="J137" s="9" t="n">
        <v>2051</v>
      </c>
      <c r="K137" s="9" t="s">
        <v>90</v>
      </c>
      <c r="L137" s="9" t="s">
        <v>233</v>
      </c>
      <c r="M137" s="9" t="s">
        <v>199</v>
      </c>
      <c r="N137" s="9" t="s">
        <v>234</v>
      </c>
      <c r="O137" s="12"/>
      <c r="P137" s="12"/>
      <c r="Q137" s="12"/>
      <c r="R137" s="13" t="n">
        <v>1900</v>
      </c>
      <c r="S137" s="14"/>
      <c r="T137" s="14"/>
      <c r="U137" s="14"/>
      <c r="V137" s="15" t="str">
        <f aca="false">IF(AND(S137="",T137=""),"",IFERROR(N(S137)*מקרא!$B$10+N(T137)*מקרא!$B$11,""))</f>
        <v/>
      </c>
      <c r="W137" s="12"/>
      <c r="X137" s="12"/>
      <c r="Y137" s="12"/>
      <c r="Z137" s="12"/>
      <c r="AA137" s="12"/>
      <c r="AB137" s="9" t="n">
        <v>31.64932</v>
      </c>
      <c r="AC137" s="9" t="n">
        <v>34.73333</v>
      </c>
      <c r="AD137" s="16" t="s">
        <v>84</v>
      </c>
      <c r="AE137" s="16" t="s">
        <v>77</v>
      </c>
      <c r="AF137" s="12"/>
    </row>
    <row r="138" customFormat="false" ht="15" hidden="false" customHeight="false" outlineLevel="0" collapsed="false">
      <c r="A138" s="9" t="n">
        <v>137</v>
      </c>
      <c r="B138" s="10" t="str">
        <f aca="false">IF(C138="",IF(D138="",I138,"החווה של "&amp;D138),IF(D138="",C138,C138&amp;" - החווה של "&amp;D138))</f>
        <v>שלווה</v>
      </c>
      <c r="C138" s="11"/>
      <c r="D138" s="11"/>
      <c r="E138" s="12"/>
      <c r="F138" s="12"/>
      <c r="G138" s="12"/>
      <c r="H138" s="12"/>
      <c r="I138" s="9" t="s">
        <v>242</v>
      </c>
      <c r="J138" s="9" t="n">
        <v>873</v>
      </c>
      <c r="K138" s="9" t="s">
        <v>90</v>
      </c>
      <c r="L138" s="9" t="s">
        <v>233</v>
      </c>
      <c r="M138" s="9" t="s">
        <v>199</v>
      </c>
      <c r="N138" s="9" t="s">
        <v>234</v>
      </c>
      <c r="O138" s="12"/>
      <c r="P138" s="12"/>
      <c r="Q138" s="12"/>
      <c r="R138" s="13" t="n">
        <v>1900</v>
      </c>
      <c r="S138" s="14"/>
      <c r="T138" s="14"/>
      <c r="U138" s="14"/>
      <c r="V138" s="15" t="str">
        <f aca="false">IF(AND(S138="",T138=""),"",IFERROR(N(S138)*מקרא!$B$10+N(T138)*מקרא!$B$11,""))</f>
        <v/>
      </c>
      <c r="W138" s="12"/>
      <c r="X138" s="12"/>
      <c r="Y138" s="12"/>
      <c r="Z138" s="12"/>
      <c r="AA138" s="12"/>
      <c r="AB138" s="9" t="n">
        <v>31.56368</v>
      </c>
      <c r="AC138" s="9" t="n">
        <v>34.76704</v>
      </c>
      <c r="AD138" s="16" t="s">
        <v>84</v>
      </c>
      <c r="AE138" s="16" t="s">
        <v>77</v>
      </c>
      <c r="AF138" s="12"/>
    </row>
    <row r="139" customFormat="false" ht="15" hidden="false" customHeight="false" outlineLevel="0" collapsed="false">
      <c r="A139" s="9" t="n">
        <v>138</v>
      </c>
      <c r="B139" s="10" t="str">
        <f aca="false">IF(C139="",IF(D139="",I139,"החווה של "&amp;D139),IF(D139="",C139,C139&amp;" - החווה של "&amp;D139))</f>
        <v>שפיר</v>
      </c>
      <c r="C139" s="11"/>
      <c r="D139" s="11"/>
      <c r="E139" s="12"/>
      <c r="F139" s="12"/>
      <c r="G139" s="12"/>
      <c r="H139" s="12"/>
      <c r="I139" s="9" t="s">
        <v>233</v>
      </c>
      <c r="J139" s="9" t="n">
        <v>692</v>
      </c>
      <c r="K139" s="9" t="s">
        <v>90</v>
      </c>
      <c r="L139" s="9" t="s">
        <v>233</v>
      </c>
      <c r="M139" s="9" t="s">
        <v>199</v>
      </c>
      <c r="N139" s="9" t="s">
        <v>234</v>
      </c>
      <c r="O139" s="12"/>
      <c r="P139" s="12"/>
      <c r="Q139" s="12"/>
      <c r="R139" s="13" t="n">
        <v>1900</v>
      </c>
      <c r="S139" s="14"/>
      <c r="T139" s="14"/>
      <c r="U139" s="14"/>
      <c r="V139" s="15" t="str">
        <f aca="false">IF(AND(S139="",T139=""),"",IFERROR(N(S139)*מקרא!$B$10+N(T139)*מקרא!$B$11,""))</f>
        <v/>
      </c>
      <c r="W139" s="12"/>
      <c r="X139" s="12"/>
      <c r="Y139" s="12"/>
      <c r="Z139" s="12"/>
      <c r="AA139" s="12"/>
      <c r="AB139" s="9" t="n">
        <v>31.6971</v>
      </c>
      <c r="AC139" s="9" t="n">
        <v>34.72834</v>
      </c>
      <c r="AD139" s="16" t="s">
        <v>84</v>
      </c>
      <c r="AE139" s="16" t="s">
        <v>77</v>
      </c>
      <c r="AF139" s="12"/>
    </row>
    <row r="140" customFormat="false" ht="15" hidden="false" customHeight="false" outlineLevel="0" collapsed="false">
      <c r="A140" s="9" t="n">
        <v>139</v>
      </c>
      <c r="B140" s="10" t="str">
        <f aca="false">IF(C140="",IF(D140="",I140,"החווה של "&amp;D140),IF(D140="",C140,C140&amp;" - החווה של "&amp;D140))</f>
        <v>משואות יצחק</v>
      </c>
      <c r="C140" s="11"/>
      <c r="D140" s="11"/>
      <c r="E140" s="12"/>
      <c r="F140" s="12"/>
      <c r="G140" s="12"/>
      <c r="H140" s="12"/>
      <c r="I140" s="9" t="s">
        <v>243</v>
      </c>
      <c r="J140" s="9" t="n">
        <v>620</v>
      </c>
      <c r="K140" s="9" t="s">
        <v>215</v>
      </c>
      <c r="L140" s="9" t="s">
        <v>233</v>
      </c>
      <c r="M140" s="9" t="s">
        <v>199</v>
      </c>
      <c r="N140" s="9" t="s">
        <v>234</v>
      </c>
      <c r="O140" s="12"/>
      <c r="P140" s="12"/>
      <c r="Q140" s="12"/>
      <c r="R140" s="13" t="n">
        <v>1900</v>
      </c>
      <c r="S140" s="14"/>
      <c r="T140" s="14"/>
      <c r="U140" s="14"/>
      <c r="V140" s="15" t="str">
        <f aca="false">IF(AND(S140="",T140=""),"",IFERROR(N(S140)*מקרא!$B$10+N(T140)*מקרא!$B$11,""))</f>
        <v/>
      </c>
      <c r="W140" s="12"/>
      <c r="X140" s="12"/>
      <c r="Y140" s="12"/>
      <c r="Z140" s="12"/>
      <c r="AA140" s="12"/>
      <c r="AB140" s="9" t="n">
        <v>31.70281</v>
      </c>
      <c r="AC140" s="9" t="n">
        <v>34.68939</v>
      </c>
      <c r="AD140" s="16" t="s">
        <v>84</v>
      </c>
      <c r="AE140" s="16" t="s">
        <v>77</v>
      </c>
      <c r="AF140" s="12"/>
    </row>
    <row r="141" customFormat="false" ht="15" hidden="false" customHeight="false" outlineLevel="0" collapsed="false">
      <c r="A141" s="9" t="n">
        <v>140</v>
      </c>
      <c r="B141" s="10" t="str">
        <f aca="false">IF(C141="",IF(D141="",I141,"החווה של "&amp;D141),IF(D141="",C141,C141&amp;" - החווה של "&amp;D141))</f>
        <v>בית גוברין</v>
      </c>
      <c r="C141" s="11"/>
      <c r="D141" s="11"/>
      <c r="E141" s="12"/>
      <c r="F141" s="12"/>
      <c r="G141" s="12"/>
      <c r="H141" s="12"/>
      <c r="I141" s="9" t="s">
        <v>244</v>
      </c>
      <c r="J141" s="9" t="n">
        <v>619</v>
      </c>
      <c r="K141" s="9" t="s">
        <v>80</v>
      </c>
      <c r="L141" s="9" t="s">
        <v>245</v>
      </c>
      <c r="M141" s="9" t="s">
        <v>199</v>
      </c>
      <c r="N141" s="9" t="s">
        <v>246</v>
      </c>
      <c r="O141" s="12"/>
      <c r="P141" s="12"/>
      <c r="Q141" s="12"/>
      <c r="R141" s="13" t="n">
        <v>4000</v>
      </c>
      <c r="S141" s="14"/>
      <c r="T141" s="14"/>
      <c r="U141" s="14"/>
      <c r="V141" s="15" t="str">
        <f aca="false">IF(AND(S141="",T141=""),"",IFERROR(N(S141)*מקרא!$B$10+N(T141)*מקרא!$B$11,""))</f>
        <v/>
      </c>
      <c r="W141" s="12"/>
      <c r="X141" s="12"/>
      <c r="Y141" s="12"/>
      <c r="Z141" s="12"/>
      <c r="AA141" s="12"/>
      <c r="AB141" s="9" t="n">
        <v>31.61302</v>
      </c>
      <c r="AC141" s="9" t="n">
        <v>34.89591</v>
      </c>
      <c r="AD141" s="16" t="s">
        <v>84</v>
      </c>
      <c r="AE141" s="16" t="s">
        <v>77</v>
      </c>
      <c r="AF141" s="12"/>
    </row>
    <row r="142" customFormat="false" ht="15" hidden="false" customHeight="false" outlineLevel="0" collapsed="false">
      <c r="A142" s="9" t="n">
        <v>141</v>
      </c>
      <c r="B142" s="10" t="str">
        <f aca="false">IF(C142="",IF(D142="",I142,"החווה של "&amp;D142),IF(D142="",C142,C142&amp;" - החווה של "&amp;D142))</f>
        <v>בית ניר</v>
      </c>
      <c r="C142" s="11"/>
      <c r="D142" s="11"/>
      <c r="E142" s="12"/>
      <c r="F142" s="12"/>
      <c r="G142" s="12"/>
      <c r="H142" s="12"/>
      <c r="I142" s="9" t="s">
        <v>247</v>
      </c>
      <c r="J142" s="9" t="n">
        <v>16</v>
      </c>
      <c r="K142" s="9" t="s">
        <v>80</v>
      </c>
      <c r="L142" s="9" t="s">
        <v>245</v>
      </c>
      <c r="M142" s="9" t="s">
        <v>199</v>
      </c>
      <c r="N142" s="9" t="s">
        <v>246</v>
      </c>
      <c r="O142" s="12"/>
      <c r="P142" s="12"/>
      <c r="Q142" s="12"/>
      <c r="R142" s="13" t="n">
        <v>4000</v>
      </c>
      <c r="S142" s="14"/>
      <c r="T142" s="14"/>
      <c r="U142" s="14"/>
      <c r="V142" s="15" t="str">
        <f aca="false">IF(AND(S142="",T142=""),"",IFERROR(N(S142)*מקרא!$B$10+N(T142)*מקרא!$B$11,""))</f>
        <v/>
      </c>
      <c r="W142" s="12"/>
      <c r="X142" s="12"/>
      <c r="Y142" s="12"/>
      <c r="Z142" s="12"/>
      <c r="AA142" s="12"/>
      <c r="AB142" s="9" t="n">
        <v>31.64841</v>
      </c>
      <c r="AC142" s="9" t="n">
        <v>34.8727</v>
      </c>
      <c r="AD142" s="16" t="s">
        <v>84</v>
      </c>
      <c r="AE142" s="16" t="s">
        <v>77</v>
      </c>
      <c r="AF142" s="12"/>
    </row>
    <row r="143" customFormat="false" ht="15" hidden="false" customHeight="false" outlineLevel="0" collapsed="false">
      <c r="A143" s="9" t="n">
        <v>142</v>
      </c>
      <c r="B143" s="10" t="str">
        <f aca="false">IF(C143="",IF(D143="",I143,"החווה של "&amp;D143),IF(D143="",C143,C143&amp;" - החווה של "&amp;D143))</f>
        <v>גלאון</v>
      </c>
      <c r="C143" s="11"/>
      <c r="D143" s="11"/>
      <c r="E143" s="12"/>
      <c r="F143" s="12"/>
      <c r="G143" s="12"/>
      <c r="H143" s="12"/>
      <c r="I143" s="9" t="s">
        <v>248</v>
      </c>
      <c r="J143" s="9" t="n">
        <v>393</v>
      </c>
      <c r="K143" s="9" t="s">
        <v>80</v>
      </c>
      <c r="L143" s="9" t="s">
        <v>245</v>
      </c>
      <c r="M143" s="9" t="s">
        <v>199</v>
      </c>
      <c r="N143" s="9" t="s">
        <v>246</v>
      </c>
      <c r="O143" s="12"/>
      <c r="P143" s="12"/>
      <c r="Q143" s="12"/>
      <c r="R143" s="13" t="n">
        <v>4000</v>
      </c>
      <c r="S143" s="14"/>
      <c r="T143" s="14"/>
      <c r="U143" s="14"/>
      <c r="V143" s="15" t="str">
        <f aca="false">IF(AND(S143="",T143=""),"",IFERROR(N(S143)*מקרא!$B$10+N(T143)*מקרא!$B$11,""))</f>
        <v/>
      </c>
      <c r="W143" s="12"/>
      <c r="X143" s="12"/>
      <c r="Y143" s="12"/>
      <c r="Z143" s="12"/>
      <c r="AA143" s="12"/>
      <c r="AB143" s="9" t="n">
        <v>31.63373</v>
      </c>
      <c r="AC143" s="9" t="n">
        <v>34.84756</v>
      </c>
      <c r="AD143" s="16" t="s">
        <v>84</v>
      </c>
      <c r="AE143" s="16" t="s">
        <v>77</v>
      </c>
      <c r="AF143" s="12"/>
    </row>
    <row r="144" customFormat="false" ht="15" hidden="false" customHeight="false" outlineLevel="0" collapsed="false">
      <c r="A144" s="9" t="n">
        <v>143</v>
      </c>
      <c r="B144" s="10" t="str">
        <f aca="false">IF(C144="",IF(D144="",I144,"החווה של "&amp;D144),IF(D144="",C144,C144&amp;" - החווה של "&amp;D144))</f>
        <v>גת</v>
      </c>
      <c r="C144" s="11"/>
      <c r="D144" s="11"/>
      <c r="E144" s="12"/>
      <c r="F144" s="12"/>
      <c r="G144" s="12"/>
      <c r="H144" s="12"/>
      <c r="I144" s="9" t="s">
        <v>249</v>
      </c>
      <c r="J144" s="9" t="n">
        <v>340</v>
      </c>
      <c r="K144" s="9" t="s">
        <v>80</v>
      </c>
      <c r="L144" s="9" t="s">
        <v>245</v>
      </c>
      <c r="M144" s="9" t="s">
        <v>199</v>
      </c>
      <c r="N144" s="9" t="s">
        <v>246</v>
      </c>
      <c r="O144" s="12"/>
      <c r="P144" s="12"/>
      <c r="Q144" s="12"/>
      <c r="R144" s="13" t="n">
        <v>4000</v>
      </c>
      <c r="S144" s="14"/>
      <c r="T144" s="14"/>
      <c r="U144" s="14"/>
      <c r="V144" s="15" t="str">
        <f aca="false">IF(AND(S144="",T144=""),"",IFERROR(N(S144)*מקרא!$B$10+N(T144)*מקרא!$B$11,""))</f>
        <v/>
      </c>
      <c r="W144" s="12"/>
      <c r="X144" s="12"/>
      <c r="Y144" s="12"/>
      <c r="Z144" s="12"/>
      <c r="AA144" s="12"/>
      <c r="AB144" s="9" t="n">
        <v>31.62771</v>
      </c>
      <c r="AC144" s="9" t="n">
        <v>34.79467</v>
      </c>
      <c r="AD144" s="16" t="s">
        <v>84</v>
      </c>
      <c r="AE144" s="16" t="s">
        <v>77</v>
      </c>
      <c r="AF144" s="12"/>
    </row>
    <row r="145" customFormat="false" ht="15" hidden="false" customHeight="false" outlineLevel="0" collapsed="false">
      <c r="A145" s="9" t="n">
        <v>144</v>
      </c>
      <c r="B145" s="10" t="str">
        <f aca="false">IF(C145="",IF(D145="",I145,"החווה של "&amp;D145),IF(D145="",C145,C145&amp;" - החווה של "&amp;D145))</f>
        <v>כפר מנחם</v>
      </c>
      <c r="C145" s="11"/>
      <c r="D145" s="11"/>
      <c r="E145" s="12"/>
      <c r="F145" s="12"/>
      <c r="G145" s="12"/>
      <c r="H145" s="12"/>
      <c r="I145" s="9" t="s">
        <v>250</v>
      </c>
      <c r="J145" s="9" t="n">
        <v>274</v>
      </c>
      <c r="K145" s="9" t="s">
        <v>80</v>
      </c>
      <c r="L145" s="9" t="s">
        <v>245</v>
      </c>
      <c r="M145" s="9" t="s">
        <v>199</v>
      </c>
      <c r="N145" s="9" t="s">
        <v>246</v>
      </c>
      <c r="O145" s="12"/>
      <c r="P145" s="12"/>
      <c r="Q145" s="12"/>
      <c r="R145" s="13" t="n">
        <v>4000</v>
      </c>
      <c r="S145" s="14"/>
      <c r="T145" s="14"/>
      <c r="U145" s="14"/>
      <c r="V145" s="15" t="str">
        <f aca="false">IF(AND(S145="",T145=""),"",IFERROR(N(S145)*מקרא!$B$10+N(T145)*מקרא!$B$11,""))</f>
        <v/>
      </c>
      <c r="W145" s="12"/>
      <c r="X145" s="12"/>
      <c r="Y145" s="12"/>
      <c r="Z145" s="12"/>
      <c r="AA145" s="12"/>
      <c r="AB145" s="9" t="n">
        <v>31.72956</v>
      </c>
      <c r="AC145" s="9" t="n">
        <v>34.83285</v>
      </c>
      <c r="AD145" s="16" t="s">
        <v>84</v>
      </c>
      <c r="AE145" s="16" t="s">
        <v>77</v>
      </c>
      <c r="AF145" s="12"/>
    </row>
    <row r="146" customFormat="false" ht="15" hidden="false" customHeight="false" outlineLevel="0" collapsed="false">
      <c r="A146" s="9" t="n">
        <v>145</v>
      </c>
      <c r="B146" s="10" t="str">
        <f aca="false">IF(C146="",IF(D146="",I146,"החווה של "&amp;D146),IF(D146="",C146,C146&amp;" - החווה של "&amp;D146))</f>
        <v>נגבה</v>
      </c>
      <c r="C146" s="11"/>
      <c r="D146" s="11"/>
      <c r="E146" s="12"/>
      <c r="F146" s="12"/>
      <c r="G146" s="12"/>
      <c r="H146" s="12"/>
      <c r="I146" s="9" t="s">
        <v>251</v>
      </c>
      <c r="J146" s="9" t="n">
        <v>315</v>
      </c>
      <c r="K146" s="9" t="s">
        <v>80</v>
      </c>
      <c r="L146" s="9" t="s">
        <v>245</v>
      </c>
      <c r="M146" s="9" t="s">
        <v>199</v>
      </c>
      <c r="N146" s="9" t="s">
        <v>246</v>
      </c>
      <c r="O146" s="12"/>
      <c r="P146" s="12"/>
      <c r="Q146" s="12"/>
      <c r="R146" s="13" t="n">
        <v>4000</v>
      </c>
      <c r="S146" s="14"/>
      <c r="T146" s="14"/>
      <c r="U146" s="14"/>
      <c r="V146" s="15" t="str">
        <f aca="false">IF(AND(S146="",T146=""),"",IFERROR(N(S146)*מקרא!$B$10+N(T146)*מקרא!$B$11,""))</f>
        <v/>
      </c>
      <c r="W146" s="12"/>
      <c r="X146" s="12"/>
      <c r="Y146" s="12"/>
      <c r="Z146" s="12"/>
      <c r="AA146" s="12"/>
      <c r="AB146" s="9" t="n">
        <v>31.66148</v>
      </c>
      <c r="AC146" s="9" t="n">
        <v>34.68244</v>
      </c>
      <c r="AD146" s="16" t="s">
        <v>84</v>
      </c>
      <c r="AE146" s="16" t="s">
        <v>77</v>
      </c>
      <c r="AF146" s="12"/>
    </row>
    <row r="147" customFormat="false" ht="15" hidden="false" customHeight="false" outlineLevel="0" collapsed="false">
      <c r="A147" s="9" t="n">
        <v>146</v>
      </c>
      <c r="B147" s="10" t="str">
        <f aca="false">IF(C147="",IF(D147="",I147,"החווה של "&amp;D147),IF(D147="",C147,C147&amp;" - החווה של "&amp;D147))</f>
        <v>רבדים</v>
      </c>
      <c r="C147" s="11"/>
      <c r="D147" s="11"/>
      <c r="E147" s="12"/>
      <c r="F147" s="12"/>
      <c r="G147" s="12"/>
      <c r="H147" s="12"/>
      <c r="I147" s="9" t="s">
        <v>252</v>
      </c>
      <c r="J147" s="9" t="n">
        <v>564</v>
      </c>
      <c r="K147" s="9" t="s">
        <v>80</v>
      </c>
      <c r="L147" s="9" t="s">
        <v>245</v>
      </c>
      <c r="M147" s="9" t="s">
        <v>199</v>
      </c>
      <c r="N147" s="9" t="s">
        <v>246</v>
      </c>
      <c r="O147" s="12"/>
      <c r="P147" s="12"/>
      <c r="Q147" s="12"/>
      <c r="R147" s="13" t="n">
        <v>4000</v>
      </c>
      <c r="S147" s="14"/>
      <c r="T147" s="14"/>
      <c r="U147" s="14"/>
      <c r="V147" s="15" t="str">
        <f aca="false">IF(AND(S147="",T147=""),"",IFERROR(N(S147)*מקרא!$B$10+N(T147)*מקרא!$B$11,""))</f>
        <v/>
      </c>
      <c r="W147" s="12"/>
      <c r="X147" s="12"/>
      <c r="Y147" s="12"/>
      <c r="Z147" s="12"/>
      <c r="AA147" s="12"/>
      <c r="AB147" s="9" t="n">
        <v>31.77379</v>
      </c>
      <c r="AC147" s="9" t="n">
        <v>34.81588</v>
      </c>
      <c r="AD147" s="16" t="s">
        <v>84</v>
      </c>
      <c r="AE147" s="16" t="s">
        <v>77</v>
      </c>
      <c r="AF147" s="12"/>
    </row>
    <row r="148" customFormat="false" ht="15" hidden="false" customHeight="false" outlineLevel="0" collapsed="false">
      <c r="A148" s="9" t="n">
        <v>147</v>
      </c>
      <c r="B148" s="10" t="str">
        <f aca="false">IF(C148="",IF(D148="",I148,"החווה של "&amp;D148),IF(D148="",C148,C148&amp;" - החווה של "&amp;D148))</f>
        <v>שדה יואב</v>
      </c>
      <c r="C148" s="11"/>
      <c r="D148" s="11"/>
      <c r="E148" s="12"/>
      <c r="F148" s="12"/>
      <c r="G148" s="12"/>
      <c r="H148" s="12"/>
      <c r="I148" s="9" t="s">
        <v>253</v>
      </c>
      <c r="J148" s="9" t="n">
        <v>293</v>
      </c>
      <c r="K148" s="9" t="s">
        <v>80</v>
      </c>
      <c r="L148" s="9" t="s">
        <v>245</v>
      </c>
      <c r="M148" s="9" t="s">
        <v>199</v>
      </c>
      <c r="N148" s="9" t="s">
        <v>246</v>
      </c>
      <c r="O148" s="12"/>
      <c r="P148" s="12"/>
      <c r="Q148" s="12"/>
      <c r="R148" s="13" t="n">
        <v>4000</v>
      </c>
      <c r="S148" s="14"/>
      <c r="T148" s="14"/>
      <c r="U148" s="14"/>
      <c r="V148" s="15" t="str">
        <f aca="false">IF(AND(S148="",T148=""),"",IFERROR(N(S148)*מקרא!$B$10+N(T148)*מקרא!$B$11,""))</f>
        <v/>
      </c>
      <c r="W148" s="12"/>
      <c r="X148" s="12"/>
      <c r="Y148" s="12"/>
      <c r="Z148" s="12"/>
      <c r="AA148" s="12"/>
      <c r="AB148" s="9" t="n">
        <v>31.64505</v>
      </c>
      <c r="AC148" s="9" t="n">
        <v>34.67716</v>
      </c>
      <c r="AD148" s="16" t="s">
        <v>84</v>
      </c>
      <c r="AE148" s="16" t="s">
        <v>77</v>
      </c>
      <c r="AF148" s="12"/>
    </row>
    <row r="149" customFormat="false" ht="15" hidden="false" customHeight="false" outlineLevel="0" collapsed="false">
      <c r="A149" s="9" t="n">
        <v>148</v>
      </c>
      <c r="B149" s="10" t="str">
        <f aca="false">IF(C149="",IF(D149="",I149,"החווה של "&amp;D149),IF(D149="",C149,C149&amp;" - החווה של "&amp;D149))</f>
        <v>כפר הריף</v>
      </c>
      <c r="C149" s="11"/>
      <c r="D149" s="11"/>
      <c r="E149" s="12"/>
      <c r="F149" s="12"/>
      <c r="G149" s="12"/>
      <c r="H149" s="12"/>
      <c r="I149" s="9" t="s">
        <v>254</v>
      </c>
      <c r="J149" s="9" t="n">
        <v>888</v>
      </c>
      <c r="K149" s="9" t="s">
        <v>90</v>
      </c>
      <c r="L149" s="9" t="s">
        <v>245</v>
      </c>
      <c r="M149" s="9" t="s">
        <v>199</v>
      </c>
      <c r="N149" s="9" t="s">
        <v>246</v>
      </c>
      <c r="O149" s="12"/>
      <c r="P149" s="12"/>
      <c r="Q149" s="12"/>
      <c r="R149" s="13" t="n">
        <v>1900</v>
      </c>
      <c r="S149" s="14"/>
      <c r="T149" s="14"/>
      <c r="U149" s="14"/>
      <c r="V149" s="15" t="str">
        <f aca="false">IF(AND(S149="",T149=""),"",IFERROR(N(S149)*מקרא!$B$10+N(T149)*מקרא!$B$11,""))</f>
        <v/>
      </c>
      <c r="W149" s="12"/>
      <c r="X149" s="12"/>
      <c r="Y149" s="12"/>
      <c r="Z149" s="12"/>
      <c r="AA149" s="12"/>
      <c r="AB149" s="9" t="n">
        <v>31.74549</v>
      </c>
      <c r="AC149" s="9" t="n">
        <v>34.79279</v>
      </c>
      <c r="AD149" s="16" t="s">
        <v>84</v>
      </c>
      <c r="AE149" s="16" t="s">
        <v>77</v>
      </c>
      <c r="AF149" s="12"/>
    </row>
    <row r="150" customFormat="false" ht="15" hidden="false" customHeight="false" outlineLevel="0" collapsed="false">
      <c r="A150" s="9" t="n">
        <v>149</v>
      </c>
      <c r="B150" s="10" t="str">
        <f aca="false">IF(C150="",IF(D150="",I150,"החווה של "&amp;D150),IF(D150="",C150,C150&amp;" - החווה של "&amp;D150))</f>
        <v>נחלה</v>
      </c>
      <c r="C150" s="11"/>
      <c r="D150" s="11"/>
      <c r="E150" s="12"/>
      <c r="F150" s="12"/>
      <c r="G150" s="12"/>
      <c r="H150" s="12"/>
      <c r="I150" s="9" t="s">
        <v>255</v>
      </c>
      <c r="J150" s="9" t="n">
        <v>2045</v>
      </c>
      <c r="K150" s="9" t="s">
        <v>90</v>
      </c>
      <c r="L150" s="9" t="s">
        <v>245</v>
      </c>
      <c r="M150" s="9" t="s">
        <v>199</v>
      </c>
      <c r="N150" s="9" t="s">
        <v>246</v>
      </c>
      <c r="O150" s="12"/>
      <c r="P150" s="12"/>
      <c r="Q150" s="12"/>
      <c r="R150" s="13" t="n">
        <v>1900</v>
      </c>
      <c r="S150" s="14"/>
      <c r="T150" s="14"/>
      <c r="U150" s="14"/>
      <c r="V150" s="15" t="str">
        <f aca="false">IF(AND(S150="",T150=""),"",IFERROR(N(S150)*מקרא!$B$10+N(T150)*מקרא!$B$11,""))</f>
        <v/>
      </c>
      <c r="W150" s="12"/>
      <c r="X150" s="12"/>
      <c r="Y150" s="12"/>
      <c r="Z150" s="12"/>
      <c r="AA150" s="12"/>
      <c r="AB150" s="9" t="n">
        <v>31.65819</v>
      </c>
      <c r="AC150" s="9" t="n">
        <v>34.79454</v>
      </c>
      <c r="AD150" s="16" t="s">
        <v>84</v>
      </c>
      <c r="AE150" s="16" t="s">
        <v>77</v>
      </c>
      <c r="AF150" s="12"/>
    </row>
    <row r="151" customFormat="false" ht="15" hidden="false" customHeight="false" outlineLevel="0" collapsed="false">
      <c r="A151" s="9" t="n">
        <v>150</v>
      </c>
      <c r="B151" s="10" t="str">
        <f aca="false">IF(C151="",IF(D151="",I151,"החווה של "&amp;D151),IF(D151="",C151,C151&amp;" - החווה של "&amp;D151))</f>
        <v>סגולה</v>
      </c>
      <c r="C151" s="11"/>
      <c r="D151" s="11"/>
      <c r="E151" s="12"/>
      <c r="F151" s="12"/>
      <c r="G151" s="12"/>
      <c r="H151" s="12"/>
      <c r="I151" s="9" t="s">
        <v>256</v>
      </c>
      <c r="J151" s="9" t="n">
        <v>2046</v>
      </c>
      <c r="K151" s="9" t="s">
        <v>90</v>
      </c>
      <c r="L151" s="9" t="s">
        <v>245</v>
      </c>
      <c r="M151" s="9" t="s">
        <v>199</v>
      </c>
      <c r="N151" s="9" t="s">
        <v>246</v>
      </c>
      <c r="O151" s="12"/>
      <c r="P151" s="12"/>
      <c r="Q151" s="12"/>
      <c r="R151" s="13" t="n">
        <v>1900</v>
      </c>
      <c r="S151" s="14"/>
      <c r="T151" s="14"/>
      <c r="U151" s="14"/>
      <c r="V151" s="15" t="str">
        <f aca="false">IF(AND(S151="",T151=""),"",IFERROR(N(S151)*מקרא!$B$10+N(T151)*מקרא!$B$11,""))</f>
        <v/>
      </c>
      <c r="W151" s="12"/>
      <c r="X151" s="12"/>
      <c r="Y151" s="12"/>
      <c r="Z151" s="12"/>
      <c r="AA151" s="12"/>
      <c r="AB151" s="9" t="n">
        <v>31.66987</v>
      </c>
      <c r="AC151" s="9" t="n">
        <v>34.78025</v>
      </c>
      <c r="AD151" s="16" t="s">
        <v>84</v>
      </c>
      <c r="AE151" s="16" t="s">
        <v>77</v>
      </c>
      <c r="AF151" s="12"/>
    </row>
    <row r="152" customFormat="false" ht="15" hidden="false" customHeight="false" outlineLevel="0" collapsed="false">
      <c r="A152" s="9" t="n">
        <v>151</v>
      </c>
      <c r="B152" s="10" t="str">
        <f aca="false">IF(C152="",IF(D152="",I152,"החווה של "&amp;D152),IF(D152="",C152,C152&amp;" - החווה של "&amp;D152))</f>
        <v>חצור</v>
      </c>
      <c r="C152" s="11"/>
      <c r="D152" s="11"/>
      <c r="E152" s="12"/>
      <c r="F152" s="12"/>
      <c r="G152" s="12"/>
      <c r="H152" s="12"/>
      <c r="I152" s="9" t="s">
        <v>257</v>
      </c>
      <c r="J152" s="9" t="n">
        <v>406</v>
      </c>
      <c r="K152" s="9" t="s">
        <v>80</v>
      </c>
      <c r="L152" s="9" t="s">
        <v>258</v>
      </c>
      <c r="M152" s="9" t="s">
        <v>199</v>
      </c>
      <c r="N152" s="9" t="s">
        <v>259</v>
      </c>
      <c r="O152" s="12"/>
      <c r="P152" s="12"/>
      <c r="Q152" s="12"/>
      <c r="R152" s="13" t="n">
        <v>4000</v>
      </c>
      <c r="S152" s="14"/>
      <c r="T152" s="14"/>
      <c r="U152" s="14"/>
      <c r="V152" s="15" t="str">
        <f aca="false">IF(AND(S152="",T152=""),"",IFERROR(N(S152)*מקרא!$B$10+N(T152)*מקרא!$B$11,""))</f>
        <v/>
      </c>
      <c r="W152" s="12"/>
      <c r="X152" s="12"/>
      <c r="Y152" s="12"/>
      <c r="Z152" s="12"/>
      <c r="AA152" s="12"/>
      <c r="AB152" s="9" t="n">
        <v>31.77256</v>
      </c>
      <c r="AC152" s="9" t="n">
        <v>34.72025</v>
      </c>
      <c r="AD152" s="16" t="s">
        <v>84</v>
      </c>
      <c r="AE152" s="16" t="s">
        <v>77</v>
      </c>
      <c r="AF152" s="12"/>
    </row>
    <row r="153" customFormat="false" ht="15" hidden="false" customHeight="false" outlineLevel="0" collapsed="false">
      <c r="A153" s="9" t="n">
        <v>152</v>
      </c>
      <c r="B153" s="10" t="str">
        <f aca="false">IF(C153="",IF(D153="",I153,"החווה של "&amp;D153),IF(D153="",C153,C153&amp;" - החווה של "&amp;D153))</f>
        <v>אביגדור</v>
      </c>
      <c r="C153" s="11"/>
      <c r="D153" s="11"/>
      <c r="E153" s="12"/>
      <c r="F153" s="12"/>
      <c r="G153" s="12"/>
      <c r="H153" s="12"/>
      <c r="I153" s="9" t="s">
        <v>260</v>
      </c>
      <c r="J153" s="9" t="n">
        <v>819</v>
      </c>
      <c r="K153" s="9" t="s">
        <v>90</v>
      </c>
      <c r="L153" s="9" t="s">
        <v>258</v>
      </c>
      <c r="M153" s="9" t="s">
        <v>199</v>
      </c>
      <c r="N153" s="9" t="s">
        <v>259</v>
      </c>
      <c r="O153" s="12"/>
      <c r="P153" s="12"/>
      <c r="Q153" s="12"/>
      <c r="R153" s="13" t="n">
        <v>1900</v>
      </c>
      <c r="S153" s="14"/>
      <c r="T153" s="14"/>
      <c r="U153" s="14"/>
      <c r="V153" s="15" t="str">
        <f aca="false">IF(AND(S153="",T153=""),"",IFERROR(N(S153)*מקרא!$B$10+N(T153)*מקרא!$B$11,""))</f>
        <v/>
      </c>
      <c r="W153" s="12"/>
      <c r="X153" s="12"/>
      <c r="Y153" s="12"/>
      <c r="Z153" s="12"/>
      <c r="AA153" s="12"/>
      <c r="AB153" s="9" t="n">
        <v>31.71023</v>
      </c>
      <c r="AC153" s="9" t="n">
        <v>34.74315</v>
      </c>
      <c r="AD153" s="16" t="s">
        <v>84</v>
      </c>
      <c r="AE153" s="16" t="s">
        <v>77</v>
      </c>
      <c r="AF153" s="12"/>
    </row>
    <row r="154" customFormat="false" ht="15" hidden="false" customHeight="false" outlineLevel="0" collapsed="false">
      <c r="A154" s="9" t="n">
        <v>153</v>
      </c>
      <c r="B154" s="10" t="str">
        <f aca="false">IF(C154="",IF(D154="",I154,"החווה של "&amp;D154),IF(D154="",C154,C154&amp;" - החווה של "&amp;D154))</f>
        <v>אורות</v>
      </c>
      <c r="C154" s="11"/>
      <c r="D154" s="11"/>
      <c r="E154" s="12"/>
      <c r="F154" s="12"/>
      <c r="G154" s="12"/>
      <c r="H154" s="12"/>
      <c r="I154" s="9" t="s">
        <v>261</v>
      </c>
      <c r="J154" s="9" t="n">
        <v>2012</v>
      </c>
      <c r="K154" s="9" t="s">
        <v>90</v>
      </c>
      <c r="L154" s="9" t="s">
        <v>258</v>
      </c>
      <c r="M154" s="9" t="s">
        <v>199</v>
      </c>
      <c r="N154" s="9" t="s">
        <v>259</v>
      </c>
      <c r="O154" s="12"/>
      <c r="P154" s="12"/>
      <c r="Q154" s="12"/>
      <c r="R154" s="13" t="n">
        <v>1900</v>
      </c>
      <c r="S154" s="14"/>
      <c r="T154" s="14"/>
      <c r="U154" s="14"/>
      <c r="V154" s="15" t="str">
        <f aca="false">IF(AND(S154="",T154=""),"",IFERROR(N(S154)*מקרא!$B$10+N(T154)*מקרא!$B$11,""))</f>
        <v/>
      </c>
      <c r="W154" s="12"/>
      <c r="X154" s="12"/>
      <c r="Y154" s="12"/>
      <c r="Z154" s="12"/>
      <c r="AA154" s="12"/>
      <c r="AB154" s="9" t="n">
        <v>31.74213</v>
      </c>
      <c r="AC154" s="9" t="n">
        <v>34.73444</v>
      </c>
      <c r="AD154" s="16" t="s">
        <v>84</v>
      </c>
      <c r="AE154" s="16" t="s">
        <v>77</v>
      </c>
      <c r="AF154" s="12"/>
    </row>
    <row r="155" customFormat="false" ht="15" hidden="false" customHeight="false" outlineLevel="0" collapsed="false">
      <c r="A155" s="9" t="n">
        <v>154</v>
      </c>
      <c r="B155" s="10" t="str">
        <f aca="false">IF(C155="",IF(D155="",I155,"החווה של "&amp;D155),IF(D155="",C155,C155&amp;" - החווה של "&amp;D155))</f>
        <v>אמונים</v>
      </c>
      <c r="C155" s="11"/>
      <c r="D155" s="11"/>
      <c r="E155" s="12"/>
      <c r="F155" s="12"/>
      <c r="G155" s="12"/>
      <c r="H155" s="12"/>
      <c r="I155" s="9" t="s">
        <v>262</v>
      </c>
      <c r="J155" s="9" t="n">
        <v>772</v>
      </c>
      <c r="K155" s="9" t="s">
        <v>90</v>
      </c>
      <c r="L155" s="9" t="s">
        <v>258</v>
      </c>
      <c r="M155" s="9" t="s">
        <v>199</v>
      </c>
      <c r="N155" s="9" t="s">
        <v>259</v>
      </c>
      <c r="O155" s="12"/>
      <c r="P155" s="12"/>
      <c r="Q155" s="12"/>
      <c r="R155" s="13" t="n">
        <v>1900</v>
      </c>
      <c r="S155" s="14"/>
      <c r="T155" s="14"/>
      <c r="U155" s="14"/>
      <c r="V155" s="15" t="str">
        <f aca="false">IF(AND(S155="",T155=""),"",IFERROR(N(S155)*מקרא!$B$10+N(T155)*מקרא!$B$11,""))</f>
        <v/>
      </c>
      <c r="W155" s="12"/>
      <c r="X155" s="12"/>
      <c r="Y155" s="12"/>
      <c r="Z155" s="12"/>
      <c r="AA155" s="12"/>
      <c r="AB155" s="9" t="n">
        <v>31.74361</v>
      </c>
      <c r="AC155" s="9" t="n">
        <v>34.67618</v>
      </c>
      <c r="AD155" s="16" t="s">
        <v>84</v>
      </c>
      <c r="AE155" s="16" t="s">
        <v>77</v>
      </c>
      <c r="AF155" s="12"/>
    </row>
    <row r="156" customFormat="false" ht="15" hidden="false" customHeight="false" outlineLevel="0" collapsed="false">
      <c r="A156" s="9" t="n">
        <v>155</v>
      </c>
      <c r="B156" s="10" t="str">
        <f aca="false">IF(C156="",IF(D156="",I156,"החווה של "&amp;D156),IF(D156="",C156,C156&amp;" - החווה של "&amp;D156))</f>
        <v>באר טוביה</v>
      </c>
      <c r="C156" s="11"/>
      <c r="D156" s="11"/>
      <c r="E156" s="12"/>
      <c r="F156" s="12"/>
      <c r="G156" s="12"/>
      <c r="H156" s="12"/>
      <c r="I156" s="9" t="s">
        <v>258</v>
      </c>
      <c r="J156" s="9" t="n">
        <v>155</v>
      </c>
      <c r="K156" s="9" t="s">
        <v>90</v>
      </c>
      <c r="L156" s="9" t="s">
        <v>258</v>
      </c>
      <c r="M156" s="9" t="s">
        <v>199</v>
      </c>
      <c r="N156" s="9" t="s">
        <v>259</v>
      </c>
      <c r="O156" s="12"/>
      <c r="P156" s="12"/>
      <c r="Q156" s="12"/>
      <c r="R156" s="13" t="n">
        <v>1900</v>
      </c>
      <c r="S156" s="14"/>
      <c r="T156" s="14"/>
      <c r="U156" s="14"/>
      <c r="V156" s="15" t="str">
        <f aca="false">IF(AND(S156="",T156=""),"",IFERROR(N(S156)*מקרא!$B$10+N(T156)*מקרא!$B$11,""))</f>
        <v/>
      </c>
      <c r="W156" s="12"/>
      <c r="X156" s="12"/>
      <c r="Y156" s="12"/>
      <c r="Z156" s="12"/>
      <c r="AA156" s="12"/>
      <c r="AB156" s="9" t="n">
        <v>31.73451</v>
      </c>
      <c r="AC156" s="9" t="n">
        <v>34.72372</v>
      </c>
      <c r="AD156" s="16" t="s">
        <v>84</v>
      </c>
      <c r="AE156" s="16" t="s">
        <v>77</v>
      </c>
      <c r="AF156" s="12"/>
    </row>
    <row r="157" customFormat="false" ht="15" hidden="false" customHeight="false" outlineLevel="0" collapsed="false">
      <c r="A157" s="9" t="n">
        <v>156</v>
      </c>
      <c r="B157" s="10" t="str">
        <f aca="false">IF(C157="",IF(D157="",I157,"החווה של "&amp;D157),IF(D157="",C157,C157&amp;" - החווה של "&amp;D157))</f>
        <v>בית עזרא</v>
      </c>
      <c r="C157" s="11"/>
      <c r="D157" s="11"/>
      <c r="E157" s="12"/>
      <c r="F157" s="12"/>
      <c r="G157" s="12"/>
      <c r="H157" s="12"/>
      <c r="I157" s="9" t="s">
        <v>263</v>
      </c>
      <c r="J157" s="9" t="n">
        <v>756</v>
      </c>
      <c r="K157" s="9" t="s">
        <v>90</v>
      </c>
      <c r="L157" s="9" t="s">
        <v>258</v>
      </c>
      <c r="M157" s="9" t="s">
        <v>199</v>
      </c>
      <c r="N157" s="9" t="s">
        <v>259</v>
      </c>
      <c r="O157" s="12"/>
      <c r="P157" s="12"/>
      <c r="Q157" s="12"/>
      <c r="R157" s="13" t="n">
        <v>1900</v>
      </c>
      <c r="S157" s="14"/>
      <c r="T157" s="14"/>
      <c r="U157" s="14"/>
      <c r="V157" s="15" t="str">
        <f aca="false">IF(AND(S157="",T157=""),"",IFERROR(N(S157)*מקרא!$B$10+N(T157)*מקרא!$B$11,""))</f>
        <v/>
      </c>
      <c r="W157" s="12"/>
      <c r="X157" s="12"/>
      <c r="Y157" s="12"/>
      <c r="Z157" s="12"/>
      <c r="AA157" s="12"/>
      <c r="AB157" s="9" t="n">
        <v>31.7373</v>
      </c>
      <c r="AC157" s="9" t="n">
        <v>34.65532</v>
      </c>
      <c r="AD157" s="16" t="s">
        <v>84</v>
      </c>
      <c r="AE157" s="16" t="s">
        <v>77</v>
      </c>
      <c r="AF157" s="12"/>
    </row>
    <row r="158" customFormat="false" ht="15" hidden="false" customHeight="false" outlineLevel="0" collapsed="false">
      <c r="A158" s="9" t="n">
        <v>157</v>
      </c>
      <c r="B158" s="10" t="str">
        <f aca="false">IF(C158="",IF(D158="",I158,"החווה של "&amp;D158),IF(D158="",C158,C158&amp;" - החווה של "&amp;D158))</f>
        <v>בצרון</v>
      </c>
      <c r="C158" s="11"/>
      <c r="D158" s="11"/>
      <c r="E158" s="12"/>
      <c r="F158" s="12"/>
      <c r="G158" s="12"/>
      <c r="H158" s="12"/>
      <c r="I158" s="9" t="s">
        <v>264</v>
      </c>
      <c r="J158" s="9" t="n">
        <v>234</v>
      </c>
      <c r="K158" s="9" t="s">
        <v>90</v>
      </c>
      <c r="L158" s="9" t="s">
        <v>258</v>
      </c>
      <c r="M158" s="9" t="s">
        <v>199</v>
      </c>
      <c r="N158" s="9" t="s">
        <v>259</v>
      </c>
      <c r="O158" s="12"/>
      <c r="P158" s="12"/>
      <c r="Q158" s="12"/>
      <c r="R158" s="13" t="n">
        <v>1900</v>
      </c>
      <c r="S158" s="14"/>
      <c r="T158" s="14"/>
      <c r="U158" s="14"/>
      <c r="V158" s="15" t="str">
        <f aca="false">IF(AND(S158="",T158=""),"",IFERROR(N(S158)*מקרא!$B$10+N(T158)*מקרא!$B$11,""))</f>
        <v/>
      </c>
      <c r="W158" s="12"/>
      <c r="X158" s="12"/>
      <c r="Y158" s="12"/>
      <c r="Z158" s="12"/>
      <c r="AA158" s="12"/>
      <c r="AB158" s="9" t="n">
        <v>31.79613</v>
      </c>
      <c r="AC158" s="9" t="n">
        <v>34.72921</v>
      </c>
      <c r="AD158" s="16" t="s">
        <v>84</v>
      </c>
      <c r="AE158" s="16" t="s">
        <v>77</v>
      </c>
      <c r="AF158" s="12"/>
    </row>
    <row r="159" customFormat="false" ht="15" hidden="false" customHeight="false" outlineLevel="0" collapsed="false">
      <c r="A159" s="9" t="n">
        <v>158</v>
      </c>
      <c r="B159" s="10" t="str">
        <f aca="false">IF(C159="",IF(D159="",I159,"החווה של "&amp;D159),IF(D159="",C159,C159&amp;" - החווה של "&amp;D159))</f>
        <v>גבעתי</v>
      </c>
      <c r="C159" s="11"/>
      <c r="D159" s="11"/>
      <c r="E159" s="12"/>
      <c r="F159" s="12"/>
      <c r="G159" s="12"/>
      <c r="H159" s="12"/>
      <c r="I159" s="9" t="s">
        <v>265</v>
      </c>
      <c r="J159" s="9" t="n">
        <v>793</v>
      </c>
      <c r="K159" s="9" t="s">
        <v>90</v>
      </c>
      <c r="L159" s="9" t="s">
        <v>258</v>
      </c>
      <c r="M159" s="9" t="s">
        <v>199</v>
      </c>
      <c r="N159" s="9" t="s">
        <v>259</v>
      </c>
      <c r="O159" s="12"/>
      <c r="P159" s="12"/>
      <c r="Q159" s="12"/>
      <c r="R159" s="13" t="n">
        <v>1900</v>
      </c>
      <c r="S159" s="14"/>
      <c r="T159" s="14"/>
      <c r="U159" s="14"/>
      <c r="V159" s="15" t="str">
        <f aca="false">IF(AND(S159="",T159=""),"",IFERROR(N(S159)*מקרא!$B$10+N(T159)*מקרא!$B$11,""))</f>
        <v/>
      </c>
      <c r="W159" s="12"/>
      <c r="X159" s="12"/>
      <c r="Y159" s="12"/>
      <c r="Z159" s="12"/>
      <c r="AA159" s="12"/>
      <c r="AB159" s="9" t="n">
        <v>31.73299</v>
      </c>
      <c r="AC159" s="9" t="n">
        <v>34.68046</v>
      </c>
      <c r="AD159" s="16" t="s">
        <v>84</v>
      </c>
      <c r="AE159" s="16" t="s">
        <v>77</v>
      </c>
      <c r="AF159" s="12"/>
    </row>
    <row r="160" customFormat="false" ht="15" hidden="false" customHeight="false" outlineLevel="0" collapsed="false">
      <c r="A160" s="9" t="n">
        <v>159</v>
      </c>
      <c r="B160" s="10" t="str">
        <f aca="false">IF(C160="",IF(D160="",I160,"החווה של "&amp;D160),IF(D160="",C160,C160&amp;" - החווה של "&amp;D160))</f>
        <v>חצב</v>
      </c>
      <c r="C160" s="11"/>
      <c r="D160" s="11"/>
      <c r="E160" s="12"/>
      <c r="F160" s="12"/>
      <c r="G160" s="12"/>
      <c r="H160" s="12"/>
      <c r="I160" s="9" t="s">
        <v>266</v>
      </c>
      <c r="J160" s="9" t="n">
        <v>700</v>
      </c>
      <c r="K160" s="9" t="s">
        <v>90</v>
      </c>
      <c r="L160" s="9" t="s">
        <v>258</v>
      </c>
      <c r="M160" s="9" t="s">
        <v>199</v>
      </c>
      <c r="N160" s="9" t="s">
        <v>259</v>
      </c>
      <c r="O160" s="12"/>
      <c r="P160" s="12"/>
      <c r="Q160" s="12"/>
      <c r="R160" s="13" t="n">
        <v>1900</v>
      </c>
      <c r="S160" s="14"/>
      <c r="T160" s="14"/>
      <c r="U160" s="14"/>
      <c r="V160" s="15" t="str">
        <f aca="false">IF(AND(S160="",T160=""),"",IFERROR(N(S160)*מקרא!$B$10+N(T160)*מקרא!$B$11,""))</f>
        <v/>
      </c>
      <c r="W160" s="12"/>
      <c r="X160" s="12"/>
      <c r="Y160" s="12"/>
      <c r="Z160" s="12"/>
      <c r="AA160" s="12"/>
      <c r="AB160" s="9" t="n">
        <v>31.78103</v>
      </c>
      <c r="AC160" s="9" t="n">
        <v>34.76961</v>
      </c>
      <c r="AD160" s="16" t="s">
        <v>84</v>
      </c>
      <c r="AE160" s="16" t="s">
        <v>77</v>
      </c>
      <c r="AF160" s="12"/>
    </row>
    <row r="161" customFormat="false" ht="15" hidden="false" customHeight="false" outlineLevel="0" collapsed="false">
      <c r="A161" s="9" t="n">
        <v>160</v>
      </c>
      <c r="B161" s="10" t="str">
        <f aca="false">IF(C161="",IF(D161="",I161,"החווה של "&amp;D161),IF(D161="",C161,C161&amp;" - החווה של "&amp;D161))</f>
        <v>ינון</v>
      </c>
      <c r="C161" s="11"/>
      <c r="D161" s="11"/>
      <c r="E161" s="12"/>
      <c r="F161" s="12"/>
      <c r="G161" s="12"/>
      <c r="H161" s="12"/>
      <c r="I161" s="9" t="s">
        <v>267</v>
      </c>
      <c r="J161" s="9" t="n">
        <v>2011</v>
      </c>
      <c r="K161" s="9" t="s">
        <v>90</v>
      </c>
      <c r="L161" s="9" t="s">
        <v>258</v>
      </c>
      <c r="M161" s="9" t="s">
        <v>199</v>
      </c>
      <c r="N161" s="9" t="s">
        <v>259</v>
      </c>
      <c r="O161" s="12"/>
      <c r="P161" s="12"/>
      <c r="Q161" s="12"/>
      <c r="R161" s="13" t="n">
        <v>1900</v>
      </c>
      <c r="S161" s="14"/>
      <c r="T161" s="14"/>
      <c r="U161" s="14"/>
      <c r="V161" s="15" t="str">
        <f aca="false">IF(AND(S161="",T161=""),"",IFERROR(N(S161)*מקרא!$B$10+N(T161)*מקרא!$B$11,""))</f>
        <v/>
      </c>
      <c r="W161" s="12"/>
      <c r="X161" s="12"/>
      <c r="Y161" s="12"/>
      <c r="Z161" s="12"/>
      <c r="AA161" s="12"/>
      <c r="AB161" s="9" t="n">
        <v>31.74256</v>
      </c>
      <c r="AC161" s="9" t="n">
        <v>34.7814</v>
      </c>
      <c r="AD161" s="16" t="s">
        <v>84</v>
      </c>
      <c r="AE161" s="16" t="s">
        <v>77</v>
      </c>
      <c r="AF161" s="12"/>
    </row>
    <row r="162" customFormat="false" ht="15" hidden="false" customHeight="false" outlineLevel="0" collapsed="false">
      <c r="A162" s="9" t="n">
        <v>161</v>
      </c>
      <c r="B162" s="10" t="str">
        <f aca="false">IF(C162="",IF(D162="",I162,"החווה של "&amp;D162),IF(D162="",C162,C162&amp;" - החווה של "&amp;D162))</f>
        <v>כפר אחים</v>
      </c>
      <c r="C162" s="11"/>
      <c r="D162" s="11"/>
      <c r="E162" s="12"/>
      <c r="F162" s="12"/>
      <c r="G162" s="12"/>
      <c r="H162" s="12"/>
      <c r="I162" s="9" t="s">
        <v>268</v>
      </c>
      <c r="J162" s="9" t="n">
        <v>690</v>
      </c>
      <c r="K162" s="9" t="s">
        <v>90</v>
      </c>
      <c r="L162" s="9" t="s">
        <v>258</v>
      </c>
      <c r="M162" s="9" t="s">
        <v>199</v>
      </c>
      <c r="N162" s="9" t="s">
        <v>259</v>
      </c>
      <c r="O162" s="12"/>
      <c r="P162" s="12"/>
      <c r="Q162" s="12"/>
      <c r="R162" s="13" t="n">
        <v>1900</v>
      </c>
      <c r="S162" s="14"/>
      <c r="T162" s="14"/>
      <c r="U162" s="14"/>
      <c r="V162" s="15" t="str">
        <f aca="false">IF(AND(S162="",T162=""),"",IFERROR(N(S162)*מקרא!$B$10+N(T162)*מקרא!$B$11,""))</f>
        <v/>
      </c>
      <c r="W162" s="12"/>
      <c r="X162" s="12"/>
      <c r="Y162" s="12"/>
      <c r="Z162" s="12"/>
      <c r="AA162" s="12"/>
      <c r="AB162" s="9" t="n">
        <v>31.74455</v>
      </c>
      <c r="AC162" s="9" t="n">
        <v>34.75691</v>
      </c>
      <c r="AD162" s="16" t="s">
        <v>84</v>
      </c>
      <c r="AE162" s="16" t="s">
        <v>77</v>
      </c>
      <c r="AF162" s="12"/>
    </row>
    <row r="163" customFormat="false" ht="15" hidden="false" customHeight="false" outlineLevel="0" collapsed="false">
      <c r="A163" s="9" t="n">
        <v>162</v>
      </c>
      <c r="B163" s="10" t="str">
        <f aca="false">IF(C163="",IF(D163="",I163,"החווה של "&amp;D163),IF(D163="",C163,C163&amp;" - החווה של "&amp;D163))</f>
        <v>כפר ורבורג</v>
      </c>
      <c r="C163" s="11"/>
      <c r="D163" s="11"/>
      <c r="E163" s="12"/>
      <c r="F163" s="12"/>
      <c r="G163" s="12"/>
      <c r="H163" s="12"/>
      <c r="I163" s="9" t="s">
        <v>269</v>
      </c>
      <c r="J163" s="9" t="n">
        <v>320</v>
      </c>
      <c r="K163" s="9" t="s">
        <v>90</v>
      </c>
      <c r="L163" s="9" t="s">
        <v>258</v>
      </c>
      <c r="M163" s="9" t="s">
        <v>199</v>
      </c>
      <c r="N163" s="9" t="s">
        <v>259</v>
      </c>
      <c r="O163" s="12"/>
      <c r="P163" s="12"/>
      <c r="Q163" s="12"/>
      <c r="R163" s="13" t="n">
        <v>1900</v>
      </c>
      <c r="S163" s="14"/>
      <c r="T163" s="14"/>
      <c r="U163" s="14"/>
      <c r="V163" s="15" t="str">
        <f aca="false">IF(AND(S163="",T163=""),"",IFERROR(N(S163)*מקרא!$B$10+N(T163)*מקרא!$B$11,""))</f>
        <v/>
      </c>
      <c r="W163" s="12"/>
      <c r="X163" s="12"/>
      <c r="Y163" s="12"/>
      <c r="Z163" s="12"/>
      <c r="AA163" s="12"/>
      <c r="AB163" s="9" t="n">
        <v>31.7191</v>
      </c>
      <c r="AC163" s="9" t="n">
        <v>34.72664</v>
      </c>
      <c r="AD163" s="16" t="s">
        <v>84</v>
      </c>
      <c r="AE163" s="16" t="s">
        <v>77</v>
      </c>
      <c r="AF163" s="12"/>
    </row>
    <row r="164" customFormat="false" ht="15" hidden="false" customHeight="false" outlineLevel="0" collapsed="false">
      <c r="A164" s="9" t="n">
        <v>163</v>
      </c>
      <c r="B164" s="10" t="str">
        <f aca="false">IF(C164="",IF(D164="",I164,"החווה של "&amp;D164),IF(D164="",C164,C164&amp;" - החווה של "&amp;D164))</f>
        <v>נוה מבטח</v>
      </c>
      <c r="C164" s="11"/>
      <c r="D164" s="11"/>
      <c r="E164" s="12"/>
      <c r="F164" s="12"/>
      <c r="G164" s="12"/>
      <c r="H164" s="12"/>
      <c r="I164" s="9" t="s">
        <v>270</v>
      </c>
      <c r="J164" s="9" t="n">
        <v>827</v>
      </c>
      <c r="K164" s="9" t="s">
        <v>90</v>
      </c>
      <c r="L164" s="9" t="s">
        <v>258</v>
      </c>
      <c r="M164" s="9" t="s">
        <v>199</v>
      </c>
      <c r="N164" s="9" t="s">
        <v>259</v>
      </c>
      <c r="O164" s="12"/>
      <c r="P164" s="12"/>
      <c r="Q164" s="12"/>
      <c r="R164" s="13" t="n">
        <v>1900</v>
      </c>
      <c r="S164" s="14"/>
      <c r="T164" s="14"/>
      <c r="U164" s="14"/>
      <c r="V164" s="15" t="str">
        <f aca="false">IF(AND(S164="",T164=""),"",IFERROR(N(S164)*מקרא!$B$10+N(T164)*מקרא!$B$11,""))</f>
        <v/>
      </c>
      <c r="W164" s="12"/>
      <c r="X164" s="12"/>
      <c r="Y164" s="12"/>
      <c r="Z164" s="12"/>
      <c r="AA164" s="12"/>
      <c r="AB164" s="9" t="n">
        <v>31.80555</v>
      </c>
      <c r="AC164" s="9" t="n">
        <v>34.74109</v>
      </c>
      <c r="AD164" s="16" t="s">
        <v>84</v>
      </c>
      <c r="AE164" s="16" t="s">
        <v>77</v>
      </c>
      <c r="AF164" s="12"/>
    </row>
    <row r="165" customFormat="false" ht="15" hidden="false" customHeight="false" outlineLevel="0" collapsed="false">
      <c r="A165" s="9" t="n">
        <v>164</v>
      </c>
      <c r="B165" s="10" t="str">
        <f aca="false">IF(C165="",IF(D165="",I165,"החווה של "&amp;D165),IF(D165="",C165,C165&amp;" - החווה של "&amp;D165))</f>
        <v>ניר בנים</v>
      </c>
      <c r="C165" s="11"/>
      <c r="D165" s="11"/>
      <c r="E165" s="12"/>
      <c r="F165" s="12"/>
      <c r="G165" s="12"/>
      <c r="H165" s="12"/>
      <c r="I165" s="9" t="s">
        <v>271</v>
      </c>
      <c r="J165" s="9" t="n">
        <v>553</v>
      </c>
      <c r="K165" s="9" t="s">
        <v>90</v>
      </c>
      <c r="L165" s="9" t="s">
        <v>258</v>
      </c>
      <c r="M165" s="9" t="s">
        <v>199</v>
      </c>
      <c r="N165" s="9" t="s">
        <v>259</v>
      </c>
      <c r="O165" s="12"/>
      <c r="P165" s="12"/>
      <c r="Q165" s="12"/>
      <c r="R165" s="13" t="n">
        <v>1900</v>
      </c>
      <c r="S165" s="14"/>
      <c r="T165" s="14"/>
      <c r="U165" s="14"/>
      <c r="V165" s="15" t="str">
        <f aca="false">IF(AND(S165="",T165=""),"",IFERROR(N(S165)*מקרא!$B$10+N(T165)*מקרא!$B$11,""))</f>
        <v/>
      </c>
      <c r="W165" s="12"/>
      <c r="X165" s="12"/>
      <c r="Y165" s="12"/>
      <c r="Z165" s="12"/>
      <c r="AA165" s="12"/>
      <c r="AB165" s="9" t="n">
        <v>31.67177</v>
      </c>
      <c r="AC165" s="9" t="n">
        <v>34.75483</v>
      </c>
      <c r="AD165" s="16" t="s">
        <v>84</v>
      </c>
      <c r="AE165" s="16" t="s">
        <v>77</v>
      </c>
      <c r="AF165" s="12"/>
    </row>
    <row r="166" customFormat="false" ht="15" hidden="false" customHeight="false" outlineLevel="0" collapsed="false">
      <c r="A166" s="9" t="n">
        <v>165</v>
      </c>
      <c r="B166" s="10" t="str">
        <f aca="false">IF(C166="",IF(D166="",I166,"החווה של "&amp;D166),IF(D166="",C166,C166&amp;" - החווה של "&amp;D166))</f>
        <v>עזריקם</v>
      </c>
      <c r="C166" s="11"/>
      <c r="D166" s="11"/>
      <c r="E166" s="12"/>
      <c r="F166" s="12"/>
      <c r="G166" s="12"/>
      <c r="H166" s="12"/>
      <c r="I166" s="9" t="s">
        <v>272</v>
      </c>
      <c r="J166" s="9" t="n">
        <v>817</v>
      </c>
      <c r="K166" s="9" t="s">
        <v>90</v>
      </c>
      <c r="L166" s="9" t="s">
        <v>258</v>
      </c>
      <c r="M166" s="9" t="s">
        <v>199</v>
      </c>
      <c r="N166" s="9" t="s">
        <v>259</v>
      </c>
      <c r="O166" s="12"/>
      <c r="P166" s="12"/>
      <c r="Q166" s="12"/>
      <c r="R166" s="13" t="n">
        <v>1900</v>
      </c>
      <c r="S166" s="14"/>
      <c r="T166" s="14"/>
      <c r="U166" s="14"/>
      <c r="V166" s="15" t="str">
        <f aca="false">IF(AND(S166="",T166=""),"",IFERROR(N(S166)*מקרא!$B$10+N(T166)*מקרא!$B$11,""))</f>
        <v/>
      </c>
      <c r="W166" s="12"/>
      <c r="X166" s="12"/>
      <c r="Y166" s="12"/>
      <c r="Z166" s="12"/>
      <c r="AA166" s="12"/>
      <c r="AB166" s="9" t="n">
        <v>31.75082</v>
      </c>
      <c r="AC166" s="9" t="n">
        <v>34.69704</v>
      </c>
      <c r="AD166" s="16" t="s">
        <v>84</v>
      </c>
      <c r="AE166" s="16" t="s">
        <v>77</v>
      </c>
      <c r="AF166" s="12"/>
    </row>
    <row r="167" customFormat="false" ht="15" hidden="false" customHeight="false" outlineLevel="0" collapsed="false">
      <c r="A167" s="9" t="n">
        <v>166</v>
      </c>
      <c r="B167" s="10" t="str">
        <f aca="false">IF(C167="",IF(D167="",I167,"החווה של "&amp;D167),IF(D167="",C167,C167&amp;" - החווה של "&amp;D167))</f>
        <v>ערוגות</v>
      </c>
      <c r="C167" s="11"/>
      <c r="D167" s="11"/>
      <c r="E167" s="12"/>
      <c r="F167" s="12"/>
      <c r="G167" s="12"/>
      <c r="H167" s="12"/>
      <c r="I167" s="9" t="s">
        <v>273</v>
      </c>
      <c r="J167" s="9" t="n">
        <v>593</v>
      </c>
      <c r="K167" s="9" t="s">
        <v>90</v>
      </c>
      <c r="L167" s="9" t="s">
        <v>258</v>
      </c>
      <c r="M167" s="9" t="s">
        <v>199</v>
      </c>
      <c r="N167" s="9" t="s">
        <v>259</v>
      </c>
      <c r="O167" s="12"/>
      <c r="P167" s="12"/>
      <c r="Q167" s="12"/>
      <c r="R167" s="13" t="n">
        <v>1900</v>
      </c>
      <c r="S167" s="14"/>
      <c r="T167" s="14"/>
      <c r="U167" s="14"/>
      <c r="V167" s="15" t="str">
        <f aca="false">IF(AND(S167="",T167=""),"",IFERROR(N(S167)*מקרא!$B$10+N(T167)*מקרא!$B$11,""))</f>
        <v/>
      </c>
      <c r="W167" s="12"/>
      <c r="X167" s="12"/>
      <c r="Y167" s="12"/>
      <c r="Z167" s="12"/>
      <c r="AA167" s="12"/>
      <c r="AB167" s="9" t="n">
        <v>31.73414</v>
      </c>
      <c r="AC167" s="9" t="n">
        <v>34.77236</v>
      </c>
      <c r="AD167" s="16" t="s">
        <v>84</v>
      </c>
      <c r="AE167" s="16" t="s">
        <v>77</v>
      </c>
      <c r="AF167" s="12"/>
    </row>
    <row r="168" customFormat="false" ht="15" hidden="false" customHeight="false" outlineLevel="0" collapsed="false">
      <c r="A168" s="9" t="n">
        <v>167</v>
      </c>
      <c r="B168" s="10" t="str">
        <f aca="false">IF(C168="",IF(D168="",I168,"החווה של "&amp;D168),IF(D168="",C168,C168&amp;" - החווה של "&amp;D168))</f>
        <v>שדה עוזיהו</v>
      </c>
      <c r="C168" s="11"/>
      <c r="D168" s="11"/>
      <c r="E168" s="12"/>
      <c r="F168" s="12"/>
      <c r="G168" s="12"/>
      <c r="H168" s="12"/>
      <c r="I168" s="9" t="s">
        <v>274</v>
      </c>
      <c r="J168" s="9" t="n">
        <v>739</v>
      </c>
      <c r="K168" s="9" t="s">
        <v>90</v>
      </c>
      <c r="L168" s="9" t="s">
        <v>258</v>
      </c>
      <c r="M168" s="9" t="s">
        <v>199</v>
      </c>
      <c r="N168" s="9" t="s">
        <v>259</v>
      </c>
      <c r="O168" s="12"/>
      <c r="P168" s="12"/>
      <c r="Q168" s="12"/>
      <c r="R168" s="13" t="n">
        <v>1900</v>
      </c>
      <c r="S168" s="14"/>
      <c r="T168" s="14"/>
      <c r="U168" s="14"/>
      <c r="V168" s="15" t="str">
        <f aca="false">IF(AND(S168="",T168=""),"",IFERROR(N(S168)*מקרא!$B$10+N(T168)*מקרא!$B$11,""))</f>
        <v/>
      </c>
      <c r="W168" s="12"/>
      <c r="X168" s="12"/>
      <c r="Y168" s="12"/>
      <c r="Z168" s="12"/>
      <c r="AA168" s="12"/>
      <c r="AB168" s="9" t="n">
        <v>31.75642</v>
      </c>
      <c r="AC168" s="9" t="n">
        <v>34.67769</v>
      </c>
      <c r="AD168" s="16" t="s">
        <v>84</v>
      </c>
      <c r="AE168" s="16" t="s">
        <v>77</v>
      </c>
      <c r="AF168" s="12"/>
    </row>
    <row r="169" customFormat="false" ht="15" hidden="false" customHeight="false" outlineLevel="0" collapsed="false">
      <c r="A169" s="9" t="n">
        <v>168</v>
      </c>
      <c r="B169" s="10" t="str">
        <f aca="false">IF(C169="",IF(D169="",I169,"החווה של "&amp;D169),IF(D169="",C169,C169&amp;" - החווה של "&amp;D169))</f>
        <v>שתולים</v>
      </c>
      <c r="C169" s="11"/>
      <c r="D169" s="11"/>
      <c r="E169" s="12"/>
      <c r="F169" s="12"/>
      <c r="G169" s="12"/>
      <c r="H169" s="12"/>
      <c r="I169" s="9" t="s">
        <v>275</v>
      </c>
      <c r="J169" s="9" t="n">
        <v>763</v>
      </c>
      <c r="K169" s="9" t="s">
        <v>90</v>
      </c>
      <c r="L169" s="9" t="s">
        <v>258</v>
      </c>
      <c r="M169" s="9" t="s">
        <v>199</v>
      </c>
      <c r="N169" s="9" t="s">
        <v>259</v>
      </c>
      <c r="O169" s="12"/>
      <c r="P169" s="12"/>
      <c r="Q169" s="12"/>
      <c r="R169" s="13" t="n">
        <v>1900</v>
      </c>
      <c r="S169" s="14"/>
      <c r="T169" s="14"/>
      <c r="U169" s="14"/>
      <c r="V169" s="15" t="str">
        <f aca="false">IF(AND(S169="",T169=""),"",IFERROR(N(S169)*מקרא!$B$10+N(T169)*מקרא!$B$11,""))</f>
        <v/>
      </c>
      <c r="W169" s="12"/>
      <c r="X169" s="12"/>
      <c r="Y169" s="12"/>
      <c r="Z169" s="12"/>
      <c r="AA169" s="12"/>
      <c r="AB169" s="9" t="n">
        <v>31.77376</v>
      </c>
      <c r="AC169" s="9" t="n">
        <v>34.68361</v>
      </c>
      <c r="AD169" s="16" t="s">
        <v>84</v>
      </c>
      <c r="AE169" s="16" t="s">
        <v>77</v>
      </c>
      <c r="AF169" s="12"/>
    </row>
    <row r="170" customFormat="false" ht="15" hidden="false" customHeight="false" outlineLevel="0" collapsed="false">
      <c r="A170" s="9" t="n">
        <v>169</v>
      </c>
      <c r="B170" s="10" t="str">
        <f aca="false">IF(C170="",IF(D170="",I170,"החווה של "&amp;D170),IF(D170="",C170,C170&amp;" - החווה של "&amp;D170))</f>
        <v>תלמי יחיאל</v>
      </c>
      <c r="C170" s="11"/>
      <c r="D170" s="11"/>
      <c r="E170" s="12"/>
      <c r="F170" s="12"/>
      <c r="G170" s="12"/>
      <c r="H170" s="12"/>
      <c r="I170" s="9" t="s">
        <v>276</v>
      </c>
      <c r="J170" s="9" t="n">
        <v>727</v>
      </c>
      <c r="K170" s="9" t="s">
        <v>90</v>
      </c>
      <c r="L170" s="9" t="s">
        <v>258</v>
      </c>
      <c r="M170" s="9" t="s">
        <v>199</v>
      </c>
      <c r="N170" s="9" t="s">
        <v>259</v>
      </c>
      <c r="O170" s="12"/>
      <c r="P170" s="12"/>
      <c r="Q170" s="12"/>
      <c r="R170" s="13" t="n">
        <v>1900</v>
      </c>
      <c r="S170" s="14"/>
      <c r="T170" s="14"/>
      <c r="U170" s="14"/>
      <c r="V170" s="15" t="str">
        <f aca="false">IF(AND(S170="",T170=""),"",IFERROR(N(S170)*מקרא!$B$10+N(T170)*מקרא!$B$11,""))</f>
        <v/>
      </c>
      <c r="W170" s="12"/>
      <c r="X170" s="12"/>
      <c r="Y170" s="12"/>
      <c r="Z170" s="12"/>
      <c r="AA170" s="12"/>
      <c r="AB170" s="9" t="n">
        <v>31.75323</v>
      </c>
      <c r="AC170" s="9" t="n">
        <v>34.76278</v>
      </c>
      <c r="AD170" s="16" t="s">
        <v>84</v>
      </c>
      <c r="AE170" s="16" t="s">
        <v>77</v>
      </c>
      <c r="AF170" s="12"/>
    </row>
    <row r="171" customFormat="false" ht="15" hidden="false" customHeight="false" outlineLevel="0" collapsed="false">
      <c r="A171" s="9" t="n">
        <v>170</v>
      </c>
      <c r="B171" s="10" t="str">
        <f aca="false">IF(C171="",IF(D171="",I171,"החווה של "&amp;D171),IF(D171="",C171,C171&amp;" - החווה של "&amp;D171))</f>
        <v>תימורים</v>
      </c>
      <c r="C171" s="11"/>
      <c r="D171" s="11"/>
      <c r="E171" s="12"/>
      <c r="F171" s="12"/>
      <c r="G171" s="12"/>
      <c r="H171" s="12"/>
      <c r="I171" s="9" t="s">
        <v>277</v>
      </c>
      <c r="J171" s="9" t="n">
        <v>163</v>
      </c>
      <c r="K171" s="9" t="s">
        <v>215</v>
      </c>
      <c r="L171" s="9" t="s">
        <v>258</v>
      </c>
      <c r="M171" s="9" t="s">
        <v>199</v>
      </c>
      <c r="N171" s="9" t="s">
        <v>259</v>
      </c>
      <c r="O171" s="12"/>
      <c r="P171" s="12"/>
      <c r="Q171" s="12"/>
      <c r="R171" s="13" t="n">
        <v>1900</v>
      </c>
      <c r="S171" s="14"/>
      <c r="T171" s="14"/>
      <c r="U171" s="14"/>
      <c r="V171" s="15" t="str">
        <f aca="false">IF(AND(S171="",T171=""),"",IFERROR(N(S171)*מקרא!$B$10+N(T171)*מקרא!$B$11,""))</f>
        <v/>
      </c>
      <c r="W171" s="12"/>
      <c r="X171" s="12"/>
      <c r="Y171" s="12"/>
      <c r="Z171" s="12"/>
      <c r="AA171" s="12"/>
      <c r="AB171" s="9" t="n">
        <v>31.71543</v>
      </c>
      <c r="AC171" s="9" t="n">
        <v>34.75852</v>
      </c>
      <c r="AD171" s="16" t="s">
        <v>84</v>
      </c>
      <c r="AE171" s="16" t="s">
        <v>77</v>
      </c>
      <c r="AF171" s="12"/>
    </row>
    <row r="172" customFormat="false" ht="15" hidden="false" customHeight="false" outlineLevel="0" collapsed="false">
      <c r="A172" s="9" t="n">
        <v>171</v>
      </c>
      <c r="B172" s="10" t="str">
        <f aca="false">IF(C172="",IF(D172="",I172,"החווה של "&amp;D172),IF(D172="",C172,C172&amp;" - החווה של "&amp;D172))</f>
        <v>עין גדי</v>
      </c>
      <c r="C172" s="11"/>
      <c r="D172" s="11"/>
      <c r="E172" s="12"/>
      <c r="F172" s="12"/>
      <c r="G172" s="12"/>
      <c r="H172" s="12"/>
      <c r="I172" s="9" t="s">
        <v>278</v>
      </c>
      <c r="J172" s="9" t="n">
        <v>2042</v>
      </c>
      <c r="K172" s="9" t="s">
        <v>80</v>
      </c>
      <c r="L172" s="9" t="s">
        <v>279</v>
      </c>
      <c r="M172" s="9" t="s">
        <v>280</v>
      </c>
      <c r="N172" s="9" t="s">
        <v>281</v>
      </c>
      <c r="O172" s="12"/>
      <c r="P172" s="12"/>
      <c r="Q172" s="12"/>
      <c r="R172" s="13" t="n">
        <v>900</v>
      </c>
      <c r="S172" s="14"/>
      <c r="T172" s="14"/>
      <c r="U172" s="14"/>
      <c r="V172" s="15" t="str">
        <f aca="false">IF(AND(S172="",T172=""),"",IFERROR(N(S172)*מקרא!$B$10+N(T172)*מקרא!$B$11,""))</f>
        <v/>
      </c>
      <c r="W172" s="12"/>
      <c r="X172" s="12"/>
      <c r="Y172" s="12"/>
      <c r="Z172" s="12"/>
      <c r="AA172" s="12"/>
      <c r="AB172" s="9" t="n">
        <v>31.45256</v>
      </c>
      <c r="AC172" s="9" t="n">
        <v>35.3847</v>
      </c>
      <c r="AD172" s="16" t="s">
        <v>84</v>
      </c>
      <c r="AE172" s="16" t="s">
        <v>77</v>
      </c>
      <c r="AF172" s="12"/>
    </row>
    <row r="173" customFormat="false" ht="15" hidden="false" customHeight="false" outlineLevel="0" collapsed="false">
      <c r="A173" s="9" t="n">
        <v>172</v>
      </c>
      <c r="B173" s="10" t="str">
        <f aca="false">IF(C173="",IF(D173="",I173,"החווה של "&amp;D173),IF(D173="",C173,C173&amp;" - החווה של "&amp;D173))</f>
        <v>נאות הכיכר</v>
      </c>
      <c r="C173" s="11"/>
      <c r="D173" s="11"/>
      <c r="E173" s="12"/>
      <c r="F173" s="12"/>
      <c r="G173" s="12"/>
      <c r="H173" s="12"/>
      <c r="I173" s="9" t="s">
        <v>282</v>
      </c>
      <c r="J173" s="9" t="n">
        <v>1124</v>
      </c>
      <c r="K173" s="9" t="s">
        <v>90</v>
      </c>
      <c r="L173" s="9" t="s">
        <v>279</v>
      </c>
      <c r="M173" s="9" t="s">
        <v>280</v>
      </c>
      <c r="N173" s="9" t="s">
        <v>281</v>
      </c>
      <c r="O173" s="12"/>
      <c r="P173" s="12"/>
      <c r="Q173" s="12"/>
      <c r="R173" s="13" t="n">
        <v>900</v>
      </c>
      <c r="S173" s="14"/>
      <c r="T173" s="14"/>
      <c r="U173" s="14"/>
      <c r="V173" s="15" t="str">
        <f aca="false">IF(AND(S173="",T173=""),"",IFERROR(N(S173)*מקרא!$B$10+N(T173)*מקרא!$B$11,""))</f>
        <v/>
      </c>
      <c r="W173" s="12"/>
      <c r="X173" s="12"/>
      <c r="Y173" s="12"/>
      <c r="Z173" s="12"/>
      <c r="AA173" s="12"/>
      <c r="AB173" s="9" t="n">
        <v>30.93369</v>
      </c>
      <c r="AC173" s="9" t="n">
        <v>35.37817</v>
      </c>
      <c r="AD173" s="16" t="s">
        <v>84</v>
      </c>
      <c r="AE173" s="16" t="s">
        <v>77</v>
      </c>
      <c r="AF173" s="12"/>
    </row>
    <row r="174" customFormat="false" ht="15" hidden="false" customHeight="false" outlineLevel="0" collapsed="false">
      <c r="A174" s="9" t="n">
        <v>173</v>
      </c>
      <c r="B174" s="10" t="str">
        <f aca="false">IF(C174="",IF(D174="",I174,"החווה של "&amp;D174),IF(D174="",C174,C174&amp;" - החווה של "&amp;D174))</f>
        <v>עין חצבה</v>
      </c>
      <c r="C174" s="11"/>
      <c r="D174" s="11"/>
      <c r="E174" s="12"/>
      <c r="F174" s="12"/>
      <c r="G174" s="12"/>
      <c r="H174" s="12"/>
      <c r="I174" s="9" t="s">
        <v>283</v>
      </c>
      <c r="J174" s="9" t="n">
        <v>1053</v>
      </c>
      <c r="K174" s="9" t="s">
        <v>90</v>
      </c>
      <c r="L174" s="9" t="s">
        <v>279</v>
      </c>
      <c r="M174" s="9" t="s">
        <v>280</v>
      </c>
      <c r="N174" s="9" t="s">
        <v>281</v>
      </c>
      <c r="O174" s="12"/>
      <c r="P174" s="12"/>
      <c r="Q174" s="12"/>
      <c r="R174" s="13" t="n">
        <v>900</v>
      </c>
      <c r="S174" s="14"/>
      <c r="T174" s="14"/>
      <c r="U174" s="14"/>
      <c r="V174" s="15" t="str">
        <f aca="false">IF(AND(S174="",T174=""),"",IFERROR(N(S174)*מקרא!$B$10+N(T174)*מקרא!$B$11,""))</f>
        <v/>
      </c>
      <c r="W174" s="12"/>
      <c r="X174" s="12"/>
      <c r="Y174" s="12"/>
      <c r="Z174" s="12"/>
      <c r="AA174" s="12"/>
      <c r="AB174" s="9" t="n">
        <v>30.7985</v>
      </c>
      <c r="AC174" s="9" t="n">
        <v>35.24586</v>
      </c>
      <c r="AD174" s="16" t="s">
        <v>84</v>
      </c>
      <c r="AE174" s="16" t="s">
        <v>77</v>
      </c>
      <c r="AF174" s="12"/>
    </row>
    <row r="175" customFormat="false" ht="15" hidden="false" customHeight="false" outlineLevel="0" collapsed="false">
      <c r="A175" s="9" t="n">
        <v>174</v>
      </c>
      <c r="B175" s="10" t="str">
        <f aca="false">IF(C175="",IF(D175="",I175,"החווה של "&amp;D175),IF(D175="",C175,C175&amp;" - החווה של "&amp;D175))</f>
        <v>עין תמר</v>
      </c>
      <c r="C175" s="11"/>
      <c r="D175" s="11"/>
      <c r="E175" s="12"/>
      <c r="F175" s="12"/>
      <c r="G175" s="12"/>
      <c r="H175" s="12"/>
      <c r="I175" s="9" t="s">
        <v>284</v>
      </c>
      <c r="J175" s="9" t="n">
        <v>1251</v>
      </c>
      <c r="K175" s="9" t="s">
        <v>90</v>
      </c>
      <c r="L175" s="9" t="s">
        <v>279</v>
      </c>
      <c r="M175" s="9" t="s">
        <v>280</v>
      </c>
      <c r="N175" s="9" t="s">
        <v>281</v>
      </c>
      <c r="O175" s="12"/>
      <c r="P175" s="12"/>
      <c r="Q175" s="12"/>
      <c r="R175" s="13" t="n">
        <v>900</v>
      </c>
      <c r="S175" s="14"/>
      <c r="T175" s="14"/>
      <c r="U175" s="14"/>
      <c r="V175" s="15" t="str">
        <f aca="false">IF(AND(S175="",T175=""),"",IFERROR(N(S175)*מקרא!$B$10+N(T175)*מקרא!$B$11,""))</f>
        <v/>
      </c>
      <c r="W175" s="12"/>
      <c r="X175" s="12"/>
      <c r="Y175" s="12"/>
      <c r="Z175" s="12"/>
      <c r="AA175" s="12"/>
      <c r="AB175" s="9" t="n">
        <v>30.94298</v>
      </c>
      <c r="AC175" s="9" t="n">
        <v>35.374</v>
      </c>
      <c r="AD175" s="16" t="s">
        <v>84</v>
      </c>
      <c r="AE175" s="16" t="s">
        <v>77</v>
      </c>
      <c r="AF175" s="12"/>
    </row>
    <row r="176" customFormat="false" ht="15" hidden="false" customHeight="false" outlineLevel="0" collapsed="false">
      <c r="A176" s="9" t="n">
        <v>175</v>
      </c>
      <c r="B176" s="10" t="str">
        <f aca="false">IF(C176="",IF(D176="",I176,"החווה של "&amp;D176),IF(D176="",C176,C176&amp;" - החווה של "&amp;D176))</f>
        <v>הר עמשא</v>
      </c>
      <c r="C176" s="11"/>
      <c r="D176" s="11"/>
      <c r="E176" s="12"/>
      <c r="F176" s="12"/>
      <c r="G176" s="12"/>
      <c r="H176" s="12"/>
      <c r="I176" s="9" t="s">
        <v>285</v>
      </c>
      <c r="J176" s="9" t="n">
        <v>1261</v>
      </c>
      <c r="K176" s="9" t="s">
        <v>215</v>
      </c>
      <c r="L176" s="9" t="s">
        <v>279</v>
      </c>
      <c r="M176" s="9" t="s">
        <v>280</v>
      </c>
      <c r="N176" s="9" t="s">
        <v>281</v>
      </c>
      <c r="O176" s="12"/>
      <c r="P176" s="12"/>
      <c r="Q176" s="12"/>
      <c r="R176" s="13" t="n">
        <v>6000</v>
      </c>
      <c r="S176" s="14"/>
      <c r="T176" s="14"/>
      <c r="U176" s="14"/>
      <c r="V176" s="15" t="str">
        <f aca="false">IF(AND(S176="",T176=""),"",IFERROR(N(S176)*מקרא!$B$10+N(T176)*מקרא!$B$11,""))</f>
        <v/>
      </c>
      <c r="W176" s="12"/>
      <c r="X176" s="12"/>
      <c r="Y176" s="12"/>
      <c r="Z176" s="12"/>
      <c r="AA176" s="12"/>
      <c r="AB176" s="9" t="n">
        <v>31.34342</v>
      </c>
      <c r="AC176" s="9" t="n">
        <v>35.10202</v>
      </c>
      <c r="AD176" s="16" t="s">
        <v>84</v>
      </c>
      <c r="AE176" s="16" t="s">
        <v>77</v>
      </c>
      <c r="AF176" s="12"/>
    </row>
    <row r="177" customFormat="false" ht="15" hidden="false" customHeight="false" outlineLevel="0" collapsed="false">
      <c r="A177" s="9" t="n">
        <v>176</v>
      </c>
      <c r="B177" s="10" t="str">
        <f aca="false">IF(C177="",IF(D177="",I177,"החווה של "&amp;D177),IF(D177="",C177,C177&amp;" - החווה של "&amp;D177))</f>
        <v>עידן</v>
      </c>
      <c r="C177" s="11"/>
      <c r="D177" s="11"/>
      <c r="E177" s="12"/>
      <c r="F177" s="12"/>
      <c r="G177" s="12"/>
      <c r="H177" s="12"/>
      <c r="I177" s="9" t="s">
        <v>286</v>
      </c>
      <c r="J177" s="9" t="n">
        <v>1175</v>
      </c>
      <c r="K177" s="9" t="s">
        <v>90</v>
      </c>
      <c r="L177" s="9" t="s">
        <v>287</v>
      </c>
      <c r="M177" s="9" t="s">
        <v>288</v>
      </c>
      <c r="N177" s="9"/>
      <c r="O177" s="12"/>
      <c r="P177" s="12"/>
      <c r="Q177" s="12"/>
      <c r="R177" s="13" t="n">
        <v>1250</v>
      </c>
      <c r="S177" s="14"/>
      <c r="T177" s="14"/>
      <c r="U177" s="14"/>
      <c r="V177" s="15" t="str">
        <f aca="false">IF(AND(S177="",T177=""),"",IFERROR(N(S177)*מקרא!$B$10+N(T177)*מקרא!$B$11,""))</f>
        <v/>
      </c>
      <c r="W177" s="12"/>
      <c r="X177" s="12"/>
      <c r="Y177" s="12"/>
      <c r="Z177" s="12"/>
      <c r="AA177" s="12"/>
      <c r="AB177" s="9" t="n">
        <v>30.80659</v>
      </c>
      <c r="AC177" s="9" t="n">
        <v>35.30041</v>
      </c>
      <c r="AD177" s="16" t="s">
        <v>84</v>
      </c>
      <c r="AE177" s="16" t="s">
        <v>77</v>
      </c>
      <c r="AF177" s="12"/>
    </row>
    <row r="178" customFormat="false" ht="15" hidden="false" customHeight="false" outlineLevel="0" collapsed="false">
      <c r="A178" s="9" t="n">
        <v>177</v>
      </c>
      <c r="B178" s="10" t="str">
        <f aca="false">IF(C178="",IF(D178="",I178,"החווה של "&amp;D178),IF(D178="",C178,C178&amp;" - החווה של "&amp;D178))</f>
        <v>חצבה</v>
      </c>
      <c r="C178" s="11"/>
      <c r="D178" s="11"/>
      <c r="E178" s="12"/>
      <c r="F178" s="12"/>
      <c r="G178" s="12"/>
      <c r="H178" s="12"/>
      <c r="I178" s="9" t="s">
        <v>289</v>
      </c>
      <c r="J178" s="9" t="n">
        <v>13</v>
      </c>
      <c r="K178" s="9" t="s">
        <v>90</v>
      </c>
      <c r="L178" s="9" t="s">
        <v>287</v>
      </c>
      <c r="M178" s="9" t="s">
        <v>288</v>
      </c>
      <c r="N178" s="9"/>
      <c r="O178" s="12"/>
      <c r="P178" s="12"/>
      <c r="Q178" s="12"/>
      <c r="R178" s="13" t="n">
        <v>1250</v>
      </c>
      <c r="S178" s="14"/>
      <c r="T178" s="14"/>
      <c r="U178" s="14"/>
      <c r="V178" s="15" t="str">
        <f aca="false">IF(AND(S178="",T178=""),"",IFERROR(N(S178)*מקרא!$B$10+N(T178)*מקרא!$B$11,""))</f>
        <v/>
      </c>
      <c r="W178" s="12"/>
      <c r="X178" s="12"/>
      <c r="Y178" s="12"/>
      <c r="Z178" s="12"/>
      <c r="AA178" s="12"/>
      <c r="AB178" s="9" t="n">
        <v>30.76836</v>
      </c>
      <c r="AC178" s="9" t="n">
        <v>35.27979</v>
      </c>
      <c r="AD178" s="16" t="s">
        <v>84</v>
      </c>
      <c r="AE178" s="16" t="s">
        <v>77</v>
      </c>
      <c r="AF178" s="12"/>
    </row>
    <row r="179" customFormat="false" ht="15" hidden="false" customHeight="false" outlineLevel="0" collapsed="false">
      <c r="A179" s="9" t="n">
        <v>178</v>
      </c>
      <c r="B179" s="10" t="str">
        <f aca="false">IF(C179="",IF(D179="",I179,"החווה של "&amp;D179),IF(D179="",C179,C179&amp;" - החווה של "&amp;D179))</f>
        <v>עין יהב</v>
      </c>
      <c r="C179" s="11"/>
      <c r="D179" s="11"/>
      <c r="E179" s="12"/>
      <c r="F179" s="12"/>
      <c r="G179" s="12"/>
      <c r="H179" s="12"/>
      <c r="I179" s="9" t="s">
        <v>290</v>
      </c>
      <c r="J179" s="9" t="n">
        <v>806</v>
      </c>
      <c r="K179" s="9" t="s">
        <v>90</v>
      </c>
      <c r="L179" s="9" t="s">
        <v>287</v>
      </c>
      <c r="M179" s="9" t="s">
        <v>288</v>
      </c>
      <c r="N179" s="9"/>
      <c r="O179" s="12"/>
      <c r="P179" s="12"/>
      <c r="Q179" s="12"/>
      <c r="R179" s="13" t="n">
        <v>1250</v>
      </c>
      <c r="S179" s="14"/>
      <c r="T179" s="14"/>
      <c r="U179" s="14"/>
      <c r="V179" s="15" t="str">
        <f aca="false">IF(AND(S179="",T179=""),"",IFERROR(N(S179)*מקרא!$B$10+N(T179)*מקרא!$B$11,""))</f>
        <v/>
      </c>
      <c r="W179" s="12"/>
      <c r="X179" s="12"/>
      <c r="Y179" s="12"/>
      <c r="Z179" s="12"/>
      <c r="AA179" s="12"/>
      <c r="AB179" s="9" t="n">
        <v>30.65807</v>
      </c>
      <c r="AC179" s="9" t="n">
        <v>35.23745</v>
      </c>
      <c r="AD179" s="16" t="s">
        <v>84</v>
      </c>
      <c r="AE179" s="16" t="s">
        <v>77</v>
      </c>
      <c r="AF179" s="12"/>
    </row>
    <row r="180" customFormat="false" ht="15" hidden="false" customHeight="false" outlineLevel="0" collapsed="false">
      <c r="A180" s="9" t="n">
        <v>179</v>
      </c>
      <c r="B180" s="10" t="str">
        <f aca="false">IF(C180="",IF(D180="",I180,"החווה של "&amp;D180),IF(D180="",C180,C180&amp;" - החווה של "&amp;D180))</f>
        <v>צופר</v>
      </c>
      <c r="C180" s="11"/>
      <c r="D180" s="11"/>
      <c r="E180" s="12"/>
      <c r="F180" s="12"/>
      <c r="G180" s="12"/>
      <c r="H180" s="12"/>
      <c r="I180" s="9" t="s">
        <v>291</v>
      </c>
      <c r="J180" s="9" t="n">
        <v>1150</v>
      </c>
      <c r="K180" s="9" t="s">
        <v>90</v>
      </c>
      <c r="L180" s="9" t="s">
        <v>287</v>
      </c>
      <c r="M180" s="9" t="s">
        <v>288</v>
      </c>
      <c r="N180" s="9"/>
      <c r="O180" s="12"/>
      <c r="P180" s="12"/>
      <c r="Q180" s="12"/>
      <c r="R180" s="13" t="n">
        <v>1250</v>
      </c>
      <c r="S180" s="14"/>
      <c r="T180" s="14"/>
      <c r="U180" s="14"/>
      <c r="V180" s="15" t="str">
        <f aca="false">IF(AND(S180="",T180=""),"",IFERROR(N(S180)*מקרא!$B$10+N(T180)*מקרא!$B$11,""))</f>
        <v/>
      </c>
      <c r="W180" s="12"/>
      <c r="X180" s="12"/>
      <c r="Y180" s="12"/>
      <c r="Z180" s="12"/>
      <c r="AA180" s="12"/>
      <c r="AB180" s="9" t="n">
        <v>30.56029</v>
      </c>
      <c r="AC180" s="9" t="n">
        <v>35.18061</v>
      </c>
      <c r="AD180" s="16" t="s">
        <v>84</v>
      </c>
      <c r="AE180" s="16" t="s">
        <v>77</v>
      </c>
      <c r="AF180" s="12"/>
    </row>
    <row r="181" customFormat="false" ht="15" hidden="false" customHeight="false" outlineLevel="0" collapsed="false">
      <c r="A181" s="9" t="n">
        <v>180</v>
      </c>
      <c r="B181" s="10" t="str">
        <f aca="false">IF(C181="",IF(D181="",I181,"החווה של "&amp;D181),IF(D181="",C181,C181&amp;" - החווה של "&amp;D181))</f>
        <v>פארן</v>
      </c>
      <c r="C181" s="11"/>
      <c r="D181" s="11"/>
      <c r="E181" s="12"/>
      <c r="F181" s="12"/>
      <c r="G181" s="12"/>
      <c r="H181" s="12"/>
      <c r="I181" s="9" t="s">
        <v>292</v>
      </c>
      <c r="J181" s="9" t="n">
        <v>1151</v>
      </c>
      <c r="K181" s="9" t="s">
        <v>90</v>
      </c>
      <c r="L181" s="9" t="s">
        <v>287</v>
      </c>
      <c r="M181" s="9" t="s">
        <v>288</v>
      </c>
      <c r="N181" s="9"/>
      <c r="O181" s="12"/>
      <c r="P181" s="12"/>
      <c r="Q181" s="12"/>
      <c r="R181" s="13" t="n">
        <v>1250</v>
      </c>
      <c r="S181" s="14"/>
      <c r="T181" s="14"/>
      <c r="U181" s="14"/>
      <c r="V181" s="15" t="str">
        <f aca="false">IF(AND(S181="",T181=""),"",IFERROR(N(S181)*מקרא!$B$10+N(T181)*מקרא!$B$11,""))</f>
        <v/>
      </c>
      <c r="W181" s="12"/>
      <c r="X181" s="12"/>
      <c r="Y181" s="12"/>
      <c r="Z181" s="12"/>
      <c r="AA181" s="12"/>
      <c r="AB181" s="9" t="n">
        <v>30.36319</v>
      </c>
      <c r="AC181" s="9" t="n">
        <v>35.15455</v>
      </c>
      <c r="AD181" s="16" t="s">
        <v>84</v>
      </c>
      <c r="AE181" s="16" t="s">
        <v>77</v>
      </c>
      <c r="AF181" s="12"/>
    </row>
    <row r="182" customFormat="false" ht="15" hidden="false" customHeight="false" outlineLevel="0" collapsed="false">
      <c r="A182" s="9" t="n">
        <v>181</v>
      </c>
      <c r="B182" s="10" t="str">
        <f aca="false">IF(C182="",IF(D182="",I182,"החווה של "&amp;D182),IF(D182="",C182,C182&amp;" - החווה של "&amp;D182))</f>
        <v>ספיר</v>
      </c>
      <c r="C182" s="11"/>
      <c r="D182" s="11"/>
      <c r="E182" s="12"/>
      <c r="F182" s="12"/>
      <c r="G182" s="12"/>
      <c r="H182" s="12"/>
      <c r="I182" s="9" t="s">
        <v>293</v>
      </c>
      <c r="J182" s="9" t="n">
        <v>1176</v>
      </c>
      <c r="K182" s="9" t="s">
        <v>93</v>
      </c>
      <c r="L182" s="9" t="s">
        <v>287</v>
      </c>
      <c r="M182" s="9" t="s">
        <v>288</v>
      </c>
      <c r="N182" s="9"/>
      <c r="O182" s="12"/>
      <c r="P182" s="12"/>
      <c r="Q182" s="12"/>
      <c r="R182" s="13" t="n">
        <v>475</v>
      </c>
      <c r="S182" s="14"/>
      <c r="T182" s="14"/>
      <c r="U182" s="14"/>
      <c r="V182" s="15" t="str">
        <f aca="false">IF(AND(S182="",T182=""),"",IFERROR(N(S182)*מקרא!$B$10+N(T182)*מקרא!$B$11,""))</f>
        <v/>
      </c>
      <c r="W182" s="12"/>
      <c r="X182" s="12"/>
      <c r="Y182" s="12"/>
      <c r="Z182" s="12"/>
      <c r="AA182" s="12"/>
      <c r="AB182" s="9" t="n">
        <v>30.61468</v>
      </c>
      <c r="AC182" s="9" t="n">
        <v>35.18425</v>
      </c>
      <c r="AD182" s="16" t="s">
        <v>84</v>
      </c>
      <c r="AE182" s="16" t="s">
        <v>77</v>
      </c>
      <c r="AF182" s="12"/>
    </row>
    <row r="183" customFormat="false" ht="15" hidden="false" customHeight="false" outlineLevel="0" collapsed="false">
      <c r="A183" s="9" t="n">
        <v>182</v>
      </c>
      <c r="B183" s="10" t="str">
        <f aca="false">IF(C183="",IF(D183="",I183,"החווה של "&amp;D183),IF(D183="",C183,C183&amp;" - החווה של "&amp;D183))</f>
        <v>צוקים</v>
      </c>
      <c r="C183" s="11"/>
      <c r="D183" s="11"/>
      <c r="E183" s="12"/>
      <c r="F183" s="12"/>
      <c r="G183" s="12"/>
      <c r="H183" s="12"/>
      <c r="I183" s="9" t="s">
        <v>294</v>
      </c>
      <c r="J183" s="9" t="n">
        <v>1262</v>
      </c>
      <c r="K183" s="9" t="s">
        <v>93</v>
      </c>
      <c r="L183" s="9" t="s">
        <v>287</v>
      </c>
      <c r="M183" s="9" t="s">
        <v>288</v>
      </c>
      <c r="N183" s="9"/>
      <c r="O183" s="12"/>
      <c r="P183" s="12"/>
      <c r="Q183" s="12"/>
      <c r="R183" s="13" t="n">
        <v>475</v>
      </c>
      <c r="S183" s="14"/>
      <c r="T183" s="14"/>
      <c r="U183" s="14"/>
      <c r="V183" s="15" t="str">
        <f aca="false">IF(AND(S183="",T183=""),"",IFERROR(N(S183)*מקרא!$B$10+N(T183)*מקרא!$B$11,""))</f>
        <v/>
      </c>
      <c r="W183" s="12"/>
      <c r="X183" s="12"/>
      <c r="Y183" s="12"/>
      <c r="Z183" s="12"/>
      <c r="AA183" s="12"/>
      <c r="AB183" s="9" t="n">
        <v>30.49119</v>
      </c>
      <c r="AC183" s="9" t="n">
        <v>35.16625</v>
      </c>
      <c r="AD183" s="16" t="s">
        <v>84</v>
      </c>
      <c r="AE183" s="16" t="s">
        <v>77</v>
      </c>
      <c r="AF183" s="12"/>
    </row>
    <row r="184" customFormat="false" ht="15" hidden="false" customHeight="false" outlineLevel="0" collapsed="false">
      <c r="A184" s="9" t="n">
        <v>183</v>
      </c>
      <c r="B184" s="10" t="str">
        <f aca="false">IF(C184="",IF(D184="",I184,"החווה של "&amp;D184),IF(D184="",C184,C184&amp;" - החווה של "&amp;D184))</f>
        <v>אילות</v>
      </c>
      <c r="C184" s="11"/>
      <c r="D184" s="11"/>
      <c r="E184" s="12"/>
      <c r="F184" s="12"/>
      <c r="G184" s="12"/>
      <c r="H184" s="12"/>
      <c r="I184" s="9" t="s">
        <v>295</v>
      </c>
      <c r="J184" s="9" t="n">
        <v>1126</v>
      </c>
      <c r="K184" s="9" t="s">
        <v>80</v>
      </c>
      <c r="L184" s="9" t="s">
        <v>296</v>
      </c>
      <c r="M184" s="9" t="s">
        <v>297</v>
      </c>
      <c r="N184" s="9" t="s">
        <v>298</v>
      </c>
      <c r="O184" s="12"/>
      <c r="P184" s="12"/>
      <c r="Q184" s="12"/>
      <c r="R184" s="13" t="n">
        <v>1500</v>
      </c>
      <c r="S184" s="14"/>
      <c r="T184" s="14"/>
      <c r="U184" s="14"/>
      <c r="V184" s="15" t="str">
        <f aca="false">IF(AND(S184="",T184=""),"",IFERROR(N(S184)*מקרא!$B$10+N(T184)*מקרא!$B$11,""))</f>
        <v/>
      </c>
      <c r="W184" s="12"/>
      <c r="X184" s="12"/>
      <c r="Y184" s="12"/>
      <c r="Z184" s="12"/>
      <c r="AA184" s="12"/>
      <c r="AB184" s="9" t="n">
        <v>29.58141</v>
      </c>
      <c r="AC184" s="9" t="n">
        <v>34.96276</v>
      </c>
      <c r="AD184" s="16" t="s">
        <v>84</v>
      </c>
      <c r="AE184" s="16" t="s">
        <v>77</v>
      </c>
      <c r="AF184" s="12"/>
    </row>
    <row r="185" customFormat="false" ht="15" hidden="false" customHeight="false" outlineLevel="0" collapsed="false">
      <c r="A185" s="9" t="n">
        <v>184</v>
      </c>
      <c r="B185" s="10" t="str">
        <f aca="false">IF(C185="",IF(D185="",I185,"החווה של "&amp;D185),IF(D185="",C185,C185&amp;" - החווה של "&amp;D185))</f>
        <v>אליפז</v>
      </c>
      <c r="C185" s="11"/>
      <c r="D185" s="11"/>
      <c r="E185" s="12"/>
      <c r="F185" s="12"/>
      <c r="G185" s="12"/>
      <c r="H185" s="12"/>
      <c r="I185" s="9" t="s">
        <v>299</v>
      </c>
      <c r="J185" s="9" t="n">
        <v>1248</v>
      </c>
      <c r="K185" s="9" t="s">
        <v>80</v>
      </c>
      <c r="L185" s="9" t="s">
        <v>296</v>
      </c>
      <c r="M185" s="9" t="s">
        <v>297</v>
      </c>
      <c r="N185" s="9" t="s">
        <v>298</v>
      </c>
      <c r="O185" s="12"/>
      <c r="P185" s="12"/>
      <c r="Q185" s="12"/>
      <c r="R185" s="13" t="n">
        <v>1500</v>
      </c>
      <c r="S185" s="14"/>
      <c r="T185" s="14"/>
      <c r="U185" s="14"/>
      <c r="V185" s="15" t="str">
        <f aca="false">IF(AND(S185="",T185=""),"",IFERROR(N(S185)*מקרא!$B$10+N(T185)*מקרא!$B$11,""))</f>
        <v/>
      </c>
      <c r="W185" s="12"/>
      <c r="X185" s="12"/>
      <c r="Y185" s="12"/>
      <c r="Z185" s="12"/>
      <c r="AA185" s="12"/>
      <c r="AB185" s="9" t="n">
        <v>29.79502</v>
      </c>
      <c r="AC185" s="9" t="n">
        <v>35.01127</v>
      </c>
      <c r="AD185" s="16" t="s">
        <v>84</v>
      </c>
      <c r="AE185" s="16" t="s">
        <v>77</v>
      </c>
      <c r="AF185" s="12"/>
    </row>
    <row r="186" customFormat="false" ht="15" hidden="false" customHeight="false" outlineLevel="0" collapsed="false">
      <c r="A186" s="9" t="n">
        <v>185</v>
      </c>
      <c r="B186" s="10" t="str">
        <f aca="false">IF(C186="",IF(D186="",I186,"החווה של "&amp;D186),IF(D186="",C186,C186&amp;" - החווה של "&amp;D186))</f>
        <v>גרופית</v>
      </c>
      <c r="C186" s="11"/>
      <c r="D186" s="11"/>
      <c r="E186" s="12"/>
      <c r="F186" s="12"/>
      <c r="G186" s="12"/>
      <c r="H186" s="12"/>
      <c r="I186" s="9" t="s">
        <v>300</v>
      </c>
      <c r="J186" s="9" t="n">
        <v>1129</v>
      </c>
      <c r="K186" s="9" t="s">
        <v>80</v>
      </c>
      <c r="L186" s="9" t="s">
        <v>296</v>
      </c>
      <c r="M186" s="9" t="s">
        <v>297</v>
      </c>
      <c r="N186" s="9" t="s">
        <v>298</v>
      </c>
      <c r="O186" s="12"/>
      <c r="P186" s="12"/>
      <c r="Q186" s="12"/>
      <c r="R186" s="13" t="n">
        <v>1500</v>
      </c>
      <c r="S186" s="14"/>
      <c r="T186" s="14"/>
      <c r="U186" s="14"/>
      <c r="V186" s="15" t="str">
        <f aca="false">IF(AND(S186="",T186=""),"",IFERROR(N(S186)*מקרא!$B$10+N(T186)*מקרא!$B$11,""))</f>
        <v/>
      </c>
      <c r="W186" s="12"/>
      <c r="X186" s="12"/>
      <c r="Y186" s="12"/>
      <c r="Z186" s="12"/>
      <c r="AA186" s="12"/>
      <c r="AB186" s="9" t="n">
        <v>29.94114</v>
      </c>
      <c r="AC186" s="9" t="n">
        <v>35.06444</v>
      </c>
      <c r="AD186" s="16" t="s">
        <v>84</v>
      </c>
      <c r="AE186" s="16" t="s">
        <v>77</v>
      </c>
      <c r="AF186" s="12"/>
    </row>
    <row r="187" customFormat="false" ht="15" hidden="false" customHeight="false" outlineLevel="0" collapsed="false">
      <c r="A187" s="9" t="n">
        <v>186</v>
      </c>
      <c r="B187" s="10" t="str">
        <f aca="false">IF(C187="",IF(D187="",I187,"החווה של "&amp;D187),IF(D187="",C187,C187&amp;" - החווה של "&amp;D187))</f>
        <v>יהל</v>
      </c>
      <c r="C187" s="11"/>
      <c r="D187" s="11"/>
      <c r="E187" s="12"/>
      <c r="F187" s="12"/>
      <c r="G187" s="12"/>
      <c r="H187" s="12"/>
      <c r="I187" s="9" t="s">
        <v>301</v>
      </c>
      <c r="J187" s="9" t="n">
        <v>1158</v>
      </c>
      <c r="K187" s="9" t="s">
        <v>80</v>
      </c>
      <c r="L187" s="9" t="s">
        <v>296</v>
      </c>
      <c r="M187" s="9" t="s">
        <v>297</v>
      </c>
      <c r="N187" s="9" t="s">
        <v>298</v>
      </c>
      <c r="O187" s="12"/>
      <c r="P187" s="12"/>
      <c r="Q187" s="12"/>
      <c r="R187" s="13" t="n">
        <v>1500</v>
      </c>
      <c r="S187" s="14"/>
      <c r="T187" s="14"/>
      <c r="U187" s="14"/>
      <c r="V187" s="15" t="str">
        <f aca="false">IF(AND(S187="",T187=""),"",IFERROR(N(S187)*מקרא!$B$10+N(T187)*מקרא!$B$11,""))</f>
        <v/>
      </c>
      <c r="W187" s="12"/>
      <c r="X187" s="12"/>
      <c r="Y187" s="12"/>
      <c r="Z187" s="12"/>
      <c r="AA187" s="12"/>
      <c r="AB187" s="9" t="n">
        <v>30.08354</v>
      </c>
      <c r="AC187" s="9" t="n">
        <v>35.12824</v>
      </c>
      <c r="AD187" s="16" t="s">
        <v>84</v>
      </c>
      <c r="AE187" s="16" t="s">
        <v>77</v>
      </c>
      <c r="AF187" s="12"/>
    </row>
    <row r="188" customFormat="false" ht="15" hidden="false" customHeight="false" outlineLevel="0" collapsed="false">
      <c r="A188" s="9" t="n">
        <v>187</v>
      </c>
      <c r="B188" s="10" t="str">
        <f aca="false">IF(C188="",IF(D188="",I188,"החווה של "&amp;D188),IF(D188="",C188,C188&amp;" - החווה של "&amp;D188))</f>
        <v>יטבתה</v>
      </c>
      <c r="C188" s="11"/>
      <c r="D188" s="11"/>
      <c r="E188" s="12"/>
      <c r="F188" s="12"/>
      <c r="G188" s="12"/>
      <c r="H188" s="12"/>
      <c r="I188" s="9" t="s">
        <v>302</v>
      </c>
      <c r="J188" s="9" t="n">
        <v>866</v>
      </c>
      <c r="K188" s="9" t="s">
        <v>80</v>
      </c>
      <c r="L188" s="9" t="s">
        <v>296</v>
      </c>
      <c r="M188" s="9" t="s">
        <v>297</v>
      </c>
      <c r="N188" s="9" t="s">
        <v>298</v>
      </c>
      <c r="O188" s="12"/>
      <c r="P188" s="12"/>
      <c r="Q188" s="12"/>
      <c r="R188" s="13" t="n">
        <v>1500</v>
      </c>
      <c r="S188" s="14"/>
      <c r="T188" s="14"/>
      <c r="U188" s="14"/>
      <c r="V188" s="15" t="str">
        <f aca="false">IF(AND(S188="",T188=""),"",IFERROR(N(S188)*מקרא!$B$10+N(T188)*מקרא!$B$11,""))</f>
        <v/>
      </c>
      <c r="W188" s="12"/>
      <c r="X188" s="12"/>
      <c r="Y188" s="12"/>
      <c r="Z188" s="12"/>
      <c r="AA188" s="12"/>
      <c r="AB188" s="9" t="n">
        <v>29.89504</v>
      </c>
      <c r="AC188" s="9" t="n">
        <v>35.06015</v>
      </c>
      <c r="AD188" s="16" t="s">
        <v>84</v>
      </c>
      <c r="AE188" s="16" t="s">
        <v>77</v>
      </c>
      <c r="AF188" s="12"/>
    </row>
    <row r="189" customFormat="false" ht="15" hidden="false" customHeight="false" outlineLevel="0" collapsed="false">
      <c r="A189" s="9" t="n">
        <v>188</v>
      </c>
      <c r="B189" s="10" t="str">
        <f aca="false">IF(C189="",IF(D189="",I189,"החווה של "&amp;D189),IF(D189="",C189,C189&amp;" - החווה של "&amp;D189))</f>
        <v>לוטן</v>
      </c>
      <c r="C189" s="11"/>
      <c r="D189" s="11"/>
      <c r="E189" s="12"/>
      <c r="F189" s="12"/>
      <c r="G189" s="12"/>
      <c r="H189" s="12"/>
      <c r="I189" s="9" t="s">
        <v>303</v>
      </c>
      <c r="J189" s="9" t="n">
        <v>1255</v>
      </c>
      <c r="K189" s="9" t="s">
        <v>80</v>
      </c>
      <c r="L189" s="9" t="s">
        <v>296</v>
      </c>
      <c r="M189" s="9" t="s">
        <v>297</v>
      </c>
      <c r="N189" s="9" t="s">
        <v>298</v>
      </c>
      <c r="O189" s="12"/>
      <c r="P189" s="12"/>
      <c r="Q189" s="12"/>
      <c r="R189" s="13" t="n">
        <v>1500</v>
      </c>
      <c r="S189" s="14"/>
      <c r="T189" s="14"/>
      <c r="U189" s="14"/>
      <c r="V189" s="15" t="str">
        <f aca="false">IF(AND(S189="",T189=""),"",IFERROR(N(S189)*מקרא!$B$10+N(T189)*מקרא!$B$11,""))</f>
        <v/>
      </c>
      <c r="W189" s="12"/>
      <c r="X189" s="12"/>
      <c r="Y189" s="12"/>
      <c r="Z189" s="12"/>
      <c r="AA189" s="12"/>
      <c r="AB189" s="9" t="n">
        <v>29.98771</v>
      </c>
      <c r="AC189" s="9" t="n">
        <v>35.08707</v>
      </c>
      <c r="AD189" s="16" t="s">
        <v>84</v>
      </c>
      <c r="AE189" s="16" t="s">
        <v>77</v>
      </c>
      <c r="AF189" s="12"/>
    </row>
    <row r="190" customFormat="false" ht="15" hidden="false" customHeight="false" outlineLevel="0" collapsed="false">
      <c r="A190" s="9" t="n">
        <v>189</v>
      </c>
      <c r="B190" s="10" t="str">
        <f aca="false">IF(C190="",IF(D190="",I190,"החווה של "&amp;D190),IF(D190="",C190,C190&amp;" - החווה של "&amp;D190))</f>
        <v>נאות סמדר</v>
      </c>
      <c r="C190" s="11"/>
      <c r="D190" s="11"/>
      <c r="E190" s="12"/>
      <c r="F190" s="12"/>
      <c r="G190" s="12"/>
      <c r="H190" s="12"/>
      <c r="I190" s="9" t="s">
        <v>304</v>
      </c>
      <c r="J190" s="9" t="n">
        <v>1197</v>
      </c>
      <c r="K190" s="9" t="s">
        <v>80</v>
      </c>
      <c r="L190" s="9" t="s">
        <v>296</v>
      </c>
      <c r="M190" s="9" t="s">
        <v>297</v>
      </c>
      <c r="N190" s="9" t="s">
        <v>298</v>
      </c>
      <c r="O190" s="12"/>
      <c r="P190" s="12"/>
      <c r="Q190" s="12"/>
      <c r="R190" s="13" t="n">
        <v>1500</v>
      </c>
      <c r="S190" s="14"/>
      <c r="T190" s="14"/>
      <c r="U190" s="14"/>
      <c r="V190" s="15" t="str">
        <f aca="false">IF(AND(S190="",T190=""),"",IFERROR(N(S190)*מקרא!$B$10+N(T190)*מקרא!$B$11,""))</f>
        <v/>
      </c>
      <c r="W190" s="12"/>
      <c r="X190" s="12"/>
      <c r="Y190" s="12"/>
      <c r="Z190" s="12"/>
      <c r="AA190" s="12"/>
      <c r="AB190" s="9" t="n">
        <v>30.0497</v>
      </c>
      <c r="AC190" s="9" t="n">
        <v>35.02665</v>
      </c>
      <c r="AD190" s="16" t="s">
        <v>84</v>
      </c>
      <c r="AE190" s="16" t="s">
        <v>77</v>
      </c>
      <c r="AF190" s="12"/>
    </row>
    <row r="191" customFormat="false" ht="15" hidden="false" customHeight="false" outlineLevel="0" collapsed="false">
      <c r="A191" s="9" t="n">
        <v>190</v>
      </c>
      <c r="B191" s="10" t="str">
        <f aca="false">IF(C191="",IF(D191="",I191,"החווה של "&amp;D191),IF(D191="",C191,C191&amp;" - החווה של "&amp;D191))</f>
        <v>נווה חריף</v>
      </c>
      <c r="C191" s="11"/>
      <c r="D191" s="11"/>
      <c r="E191" s="12"/>
      <c r="F191" s="12"/>
      <c r="G191" s="12"/>
      <c r="H191" s="12"/>
      <c r="I191" s="9" t="s">
        <v>305</v>
      </c>
      <c r="J191" s="9" t="n">
        <v>1279</v>
      </c>
      <c r="K191" s="9" t="s">
        <v>80</v>
      </c>
      <c r="L191" s="9" t="s">
        <v>296</v>
      </c>
      <c r="M191" s="9" t="s">
        <v>297</v>
      </c>
      <c r="N191" s="9" t="s">
        <v>298</v>
      </c>
      <c r="O191" s="12"/>
      <c r="P191" s="12"/>
      <c r="Q191" s="12"/>
      <c r="R191" s="13" t="n">
        <v>1500</v>
      </c>
      <c r="S191" s="14"/>
      <c r="T191" s="14"/>
      <c r="U191" s="14"/>
      <c r="V191" s="15" t="str">
        <f aca="false">IF(AND(S191="",T191=""),"",IFERROR(N(S191)*מקרא!$B$10+N(T191)*מקרא!$B$11,""))</f>
        <v/>
      </c>
      <c r="W191" s="12"/>
      <c r="X191" s="12"/>
      <c r="Y191" s="12"/>
      <c r="Z191" s="12"/>
      <c r="AA191" s="12"/>
      <c r="AB191" s="9" t="n">
        <v>30.03799</v>
      </c>
      <c r="AC191" s="9" t="n">
        <v>35.03724</v>
      </c>
      <c r="AD191" s="16" t="s">
        <v>84</v>
      </c>
      <c r="AE191" s="16" t="s">
        <v>77</v>
      </c>
      <c r="AF191" s="12"/>
    </row>
    <row r="192" customFormat="false" ht="15" hidden="false" customHeight="false" outlineLevel="0" collapsed="false">
      <c r="A192" s="9" t="n">
        <v>191</v>
      </c>
      <c r="B192" s="10" t="str">
        <f aca="false">IF(C192="",IF(D192="",I192,"החווה של "&amp;D192),IF(D192="",C192,C192&amp;" - החווה של "&amp;D192))</f>
        <v>סמר</v>
      </c>
      <c r="C192" s="11"/>
      <c r="D192" s="11"/>
      <c r="E192" s="12"/>
      <c r="F192" s="12"/>
      <c r="G192" s="12"/>
      <c r="H192" s="12"/>
      <c r="I192" s="9" t="s">
        <v>306</v>
      </c>
      <c r="J192" s="9" t="n">
        <v>1156</v>
      </c>
      <c r="K192" s="9" t="s">
        <v>80</v>
      </c>
      <c r="L192" s="9" t="s">
        <v>296</v>
      </c>
      <c r="M192" s="9" t="s">
        <v>297</v>
      </c>
      <c r="N192" s="9" t="s">
        <v>298</v>
      </c>
      <c r="O192" s="12"/>
      <c r="P192" s="12"/>
      <c r="Q192" s="12"/>
      <c r="R192" s="13" t="n">
        <v>1500</v>
      </c>
      <c r="S192" s="14"/>
      <c r="T192" s="14"/>
      <c r="U192" s="14"/>
      <c r="V192" s="15" t="str">
        <f aca="false">IF(AND(S192="",T192=""),"",IFERROR(N(S192)*מקרא!$B$10+N(T192)*מקרא!$B$11,""))</f>
        <v/>
      </c>
      <c r="W192" s="12"/>
      <c r="X192" s="12"/>
      <c r="Y192" s="12"/>
      <c r="Z192" s="12"/>
      <c r="AA192" s="12"/>
      <c r="AB192" s="9" t="n">
        <v>29.83229</v>
      </c>
      <c r="AC192" s="9" t="n">
        <v>35.02248</v>
      </c>
      <c r="AD192" s="16" t="s">
        <v>84</v>
      </c>
      <c r="AE192" s="16" t="s">
        <v>77</v>
      </c>
      <c r="AF192" s="12"/>
    </row>
    <row r="193" customFormat="false" ht="15" hidden="false" customHeight="false" outlineLevel="0" collapsed="false">
      <c r="A193" s="9" t="n">
        <v>192</v>
      </c>
      <c r="B193" s="10" t="str">
        <f aca="false">IF(C193="",IF(D193="",I193,"החווה של "&amp;D193),IF(D193="",C193,C193&amp;" - החווה של "&amp;D193))</f>
        <v>קטורה</v>
      </c>
      <c r="C193" s="11"/>
      <c r="D193" s="11"/>
      <c r="E193" s="12"/>
      <c r="F193" s="12"/>
      <c r="G193" s="12"/>
      <c r="H193" s="12"/>
      <c r="I193" s="9" t="s">
        <v>307</v>
      </c>
      <c r="J193" s="9" t="n">
        <v>1052</v>
      </c>
      <c r="K193" s="9" t="s">
        <v>80</v>
      </c>
      <c r="L193" s="9" t="s">
        <v>296</v>
      </c>
      <c r="M193" s="9" t="s">
        <v>297</v>
      </c>
      <c r="N193" s="9" t="s">
        <v>298</v>
      </c>
      <c r="O193" s="12"/>
      <c r="P193" s="12"/>
      <c r="Q193" s="12"/>
      <c r="R193" s="13" t="n">
        <v>1500</v>
      </c>
      <c r="S193" s="14"/>
      <c r="T193" s="14"/>
      <c r="U193" s="14"/>
      <c r="V193" s="15" t="str">
        <f aca="false">IF(AND(S193="",T193=""),"",IFERROR(N(S193)*מקרא!$B$10+N(T193)*מקרא!$B$11,""))</f>
        <v/>
      </c>
      <c r="W193" s="12"/>
      <c r="X193" s="12"/>
      <c r="Y193" s="12"/>
      <c r="Z193" s="12"/>
      <c r="AA193" s="12"/>
      <c r="AB193" s="9" t="n">
        <v>29.96991</v>
      </c>
      <c r="AC193" s="9" t="n">
        <v>35.06098</v>
      </c>
      <c r="AD193" s="16" t="s">
        <v>84</v>
      </c>
      <c r="AE193" s="16" t="s">
        <v>77</v>
      </c>
      <c r="AF193" s="12"/>
    </row>
    <row r="194" customFormat="false" ht="15" hidden="false" customHeight="false" outlineLevel="0" collapsed="false">
      <c r="A194" s="9" t="n">
        <v>193</v>
      </c>
      <c r="B194" s="10" t="str">
        <f aca="false">IF(C194="",IF(D194="",I194,"החווה של "&amp;D194),IF(D194="",C194,C194&amp;" - החווה של "&amp;D194))</f>
        <v>באר אורה</v>
      </c>
      <c r="C194" s="11"/>
      <c r="D194" s="11"/>
      <c r="E194" s="12"/>
      <c r="F194" s="12"/>
      <c r="G194" s="12"/>
      <c r="H194" s="12"/>
      <c r="I194" s="9" t="s">
        <v>308</v>
      </c>
      <c r="J194" s="9" t="n">
        <v>21</v>
      </c>
      <c r="K194" s="9" t="s">
        <v>93</v>
      </c>
      <c r="L194" s="9" t="s">
        <v>296</v>
      </c>
      <c r="M194" s="9" t="s">
        <v>297</v>
      </c>
      <c r="N194" s="9" t="s">
        <v>298</v>
      </c>
      <c r="O194" s="12"/>
      <c r="P194" s="12"/>
      <c r="Q194" s="12"/>
      <c r="R194" s="13" t="n">
        <v>350</v>
      </c>
      <c r="S194" s="14"/>
      <c r="T194" s="14"/>
      <c r="U194" s="14"/>
      <c r="V194" s="15" t="str">
        <f aca="false">IF(AND(S194="",T194=""),"",IFERROR(N(S194)*מקרא!$B$10+N(T194)*מקרא!$B$11,""))</f>
        <v/>
      </c>
      <c r="W194" s="12"/>
      <c r="X194" s="12"/>
      <c r="Y194" s="12"/>
      <c r="Z194" s="12"/>
      <c r="AA194" s="12"/>
      <c r="AB194" s="9" t="n">
        <v>29.71073</v>
      </c>
      <c r="AC194" s="9" t="n">
        <v>34.98663</v>
      </c>
      <c r="AD194" s="16" t="s">
        <v>84</v>
      </c>
      <c r="AE194" s="16" t="s">
        <v>77</v>
      </c>
      <c r="AF194" s="12"/>
    </row>
    <row r="195" customFormat="false" ht="15" hidden="false" customHeight="false" outlineLevel="0" collapsed="false">
      <c r="A195" s="9" t="n">
        <v>194</v>
      </c>
      <c r="B195" s="10" t="str">
        <f aca="false">IF(C195="",IF(D195="",I195,"החווה של "&amp;D195),IF(D195="",C195,C195&amp;" - החווה של "&amp;D195))</f>
        <v>שחרות</v>
      </c>
      <c r="C195" s="11"/>
      <c r="D195" s="11"/>
      <c r="E195" s="12"/>
      <c r="F195" s="12"/>
      <c r="G195" s="12"/>
      <c r="H195" s="12"/>
      <c r="I195" s="9" t="s">
        <v>309</v>
      </c>
      <c r="J195" s="9" t="n">
        <v>1266</v>
      </c>
      <c r="K195" s="9" t="s">
        <v>93</v>
      </c>
      <c r="L195" s="9" t="s">
        <v>296</v>
      </c>
      <c r="M195" s="9" t="s">
        <v>297</v>
      </c>
      <c r="N195" s="9" t="s">
        <v>298</v>
      </c>
      <c r="O195" s="12"/>
      <c r="P195" s="12"/>
      <c r="Q195" s="12"/>
      <c r="R195" s="13" t="n">
        <v>350</v>
      </c>
      <c r="S195" s="14"/>
      <c r="T195" s="14"/>
      <c r="U195" s="14"/>
      <c r="V195" s="15" t="str">
        <f aca="false">IF(AND(S195="",T195=""),"",IFERROR(N(S195)*מקרא!$B$10+N(T195)*מקרא!$B$11,""))</f>
        <v/>
      </c>
      <c r="W195" s="12"/>
      <c r="X195" s="12"/>
      <c r="Y195" s="12"/>
      <c r="Z195" s="12"/>
      <c r="AA195" s="12"/>
      <c r="AB195" s="9" t="n">
        <v>29.90434</v>
      </c>
      <c r="AC195" s="9" t="n">
        <v>34.99988</v>
      </c>
      <c r="AD195" s="16" t="s">
        <v>84</v>
      </c>
      <c r="AE195" s="16" t="s">
        <v>77</v>
      </c>
      <c r="AF195" s="12"/>
    </row>
    <row r="196" customFormat="false" ht="15" hidden="false" customHeight="false" outlineLevel="0" collapsed="false">
      <c r="A196" s="9" t="n">
        <v>195</v>
      </c>
      <c r="B196" s="10" t="str">
        <f aca="false">IF(C196="",IF(D196="",I196,"החווה של "&amp;D196),IF(D196="",C196,C196&amp;" - החווה של "&amp;D196))</f>
        <v>בית יתיר</v>
      </c>
      <c r="C196" s="11"/>
      <c r="D196" s="11"/>
      <c r="E196" s="12"/>
      <c r="F196" s="12"/>
      <c r="G196" s="12"/>
      <c r="H196" s="12"/>
      <c r="I196" s="9" t="s">
        <v>310</v>
      </c>
      <c r="J196" s="9"/>
      <c r="K196" s="9" t="s">
        <v>215</v>
      </c>
      <c r="L196" s="9" t="s">
        <v>311</v>
      </c>
      <c r="M196" s="9" t="s">
        <v>312</v>
      </c>
      <c r="N196" s="9" t="s">
        <v>313</v>
      </c>
      <c r="O196" s="12"/>
      <c r="P196" s="12"/>
      <c r="Q196" s="12"/>
      <c r="R196" s="13" t="n">
        <v>6000</v>
      </c>
      <c r="S196" s="14"/>
      <c r="T196" s="14"/>
      <c r="U196" s="14"/>
      <c r="V196" s="15" t="str">
        <f aca="false">IF(AND(S196="",T196=""),"",IFERROR(N(S196)*מקרא!$B$10+N(T196)*מקרא!$B$11,""))</f>
        <v/>
      </c>
      <c r="W196" s="12"/>
      <c r="X196" s="12"/>
      <c r="Y196" s="12"/>
      <c r="Z196" s="12"/>
      <c r="AA196" s="12"/>
      <c r="AB196" s="9"/>
      <c r="AC196" s="9"/>
      <c r="AD196" s="16" t="s">
        <v>84</v>
      </c>
      <c r="AE196" s="16" t="s">
        <v>77</v>
      </c>
      <c r="AF196" s="12"/>
    </row>
    <row r="197" customFormat="false" ht="15" hidden="false" customHeight="false" outlineLevel="0" collapsed="false">
      <c r="A197" s="9" t="n">
        <v>196</v>
      </c>
      <c r="B197" s="10" t="str">
        <f aca="false">IF(C197="",IF(D197="",I197,"החווה של "&amp;D197),IF(D197="",C197,C197&amp;" - החווה של "&amp;D197))</f>
        <v>כרמל</v>
      </c>
      <c r="C197" s="11"/>
      <c r="D197" s="11"/>
      <c r="E197" s="12"/>
      <c r="F197" s="12"/>
      <c r="G197" s="12"/>
      <c r="H197" s="12"/>
      <c r="I197" s="9" t="s">
        <v>314</v>
      </c>
      <c r="J197" s="9" t="n">
        <v>3656</v>
      </c>
      <c r="K197" s="9" t="s">
        <v>215</v>
      </c>
      <c r="L197" s="9" t="s">
        <v>311</v>
      </c>
      <c r="M197" s="9" t="s">
        <v>312</v>
      </c>
      <c r="N197" s="9" t="s">
        <v>313</v>
      </c>
      <c r="O197" s="12"/>
      <c r="P197" s="12"/>
      <c r="Q197" s="12"/>
      <c r="R197" s="13" t="n">
        <v>6000</v>
      </c>
      <c r="S197" s="14"/>
      <c r="T197" s="14"/>
      <c r="U197" s="14"/>
      <c r="V197" s="15" t="str">
        <f aca="false">IF(AND(S197="",T197=""),"",IFERROR(N(S197)*מקרא!$B$10+N(T197)*מקרא!$B$11,""))</f>
        <v/>
      </c>
      <c r="W197" s="12"/>
      <c r="X197" s="12"/>
      <c r="Y197" s="12"/>
      <c r="Z197" s="12"/>
      <c r="AA197" s="12"/>
      <c r="AB197" s="9" t="n">
        <v>31.43149</v>
      </c>
      <c r="AC197" s="9" t="n">
        <v>35.18271</v>
      </c>
      <c r="AD197" s="16" t="s">
        <v>84</v>
      </c>
      <c r="AE197" s="16" t="s">
        <v>77</v>
      </c>
      <c r="AF197" s="12"/>
    </row>
    <row r="198" customFormat="false" ht="15" hidden="false" customHeight="false" outlineLevel="0" collapsed="false">
      <c r="A198" s="9" t="n">
        <v>197</v>
      </c>
      <c r="B198" s="10" t="str">
        <f aca="false">IF(C198="",IF(D198="",I198,"החווה של "&amp;D198),IF(D198="",C198,C198&amp;" - החווה של "&amp;D198))</f>
        <v>מעון</v>
      </c>
      <c r="C198" s="11"/>
      <c r="D198" s="11"/>
      <c r="E198" s="12"/>
      <c r="F198" s="12"/>
      <c r="G198" s="12"/>
      <c r="H198" s="12"/>
      <c r="I198" s="9" t="s">
        <v>315</v>
      </c>
      <c r="J198" s="9" t="n">
        <v>3657</v>
      </c>
      <c r="K198" s="9" t="s">
        <v>215</v>
      </c>
      <c r="L198" s="9" t="s">
        <v>311</v>
      </c>
      <c r="M198" s="9" t="s">
        <v>312</v>
      </c>
      <c r="N198" s="9" t="s">
        <v>313</v>
      </c>
      <c r="O198" s="12"/>
      <c r="P198" s="12"/>
      <c r="Q198" s="12"/>
      <c r="R198" s="13" t="n">
        <v>6000</v>
      </c>
      <c r="S198" s="14"/>
      <c r="T198" s="14"/>
      <c r="U198" s="14"/>
      <c r="V198" s="15" t="str">
        <f aca="false">IF(AND(S198="",T198=""),"",IFERROR(N(S198)*מקרא!$B$10+N(T198)*מקרא!$B$11,""))</f>
        <v/>
      </c>
      <c r="W198" s="12"/>
      <c r="X198" s="12"/>
      <c r="Y198" s="12"/>
      <c r="Z198" s="12"/>
      <c r="AA198" s="12"/>
      <c r="AB198" s="9" t="n">
        <v>31.41362</v>
      </c>
      <c r="AC198" s="9" t="n">
        <v>35.16378</v>
      </c>
      <c r="AD198" s="16" t="s">
        <v>84</v>
      </c>
      <c r="AE198" s="16" t="s">
        <v>77</v>
      </c>
      <c r="AF198" s="12"/>
    </row>
    <row r="199" customFormat="false" ht="15" hidden="false" customHeight="false" outlineLevel="0" collapsed="false">
      <c r="A199" s="9" t="n">
        <v>198</v>
      </c>
      <c r="B199" s="10" t="str">
        <f aca="false">IF(C199="",IF(D199="",I199,"החווה של "&amp;D199),IF(D199="",C199,C199&amp;" - החווה של "&amp;D199))</f>
        <v>חוות בודדים — הר חברון</v>
      </c>
      <c r="C199" s="11"/>
      <c r="D199" s="11"/>
      <c r="E199" s="12"/>
      <c r="F199" s="12"/>
      <c r="G199" s="12"/>
      <c r="H199" s="12"/>
      <c r="I199" s="9" t="s">
        <v>316</v>
      </c>
      <c r="J199" s="9"/>
      <c r="K199" s="9" t="s">
        <v>96</v>
      </c>
      <c r="L199" s="9" t="s">
        <v>311</v>
      </c>
      <c r="M199" s="9" t="s">
        <v>312</v>
      </c>
      <c r="N199" s="9" t="s">
        <v>313</v>
      </c>
      <c r="O199" s="12"/>
      <c r="P199" s="12"/>
      <c r="Q199" s="12"/>
      <c r="R199" s="13" t="n">
        <v>17500</v>
      </c>
      <c r="S199" s="14"/>
      <c r="T199" s="14"/>
      <c r="U199" s="14"/>
      <c r="V199" s="15" t="str">
        <f aca="false">IF(AND(S199="",T199=""),"",IFERROR(N(S199)*מקרא!$B$10+N(T199)*מקרא!$B$11,""))</f>
        <v/>
      </c>
      <c r="W199" s="12"/>
      <c r="X199" s="12"/>
      <c r="Y199" s="12"/>
      <c r="Z199" s="12"/>
      <c r="AA199" s="12"/>
      <c r="AB199" s="9"/>
      <c r="AC199" s="9"/>
      <c r="AD199" s="16" t="s">
        <v>84</v>
      </c>
      <c r="AE199" s="16" t="s">
        <v>77</v>
      </c>
      <c r="AF199" s="12" t="s">
        <v>317</v>
      </c>
    </row>
  </sheetData>
  <autoFilter ref="A1:AF199"/>
  <dataValidations count="5">
    <dataValidation allowBlank="true" error="יש לבחור ערך מהרשימה" errorStyle="stop" errorTitle="ערך לא תקין" operator="between" showDropDown="false" showErrorMessage="false" showInputMessage="false" sqref="G2:G199" type="list">
      <formula1>רשימות!$A$2:$A$9</formula1>
      <formula2>0</formula2>
    </dataValidation>
    <dataValidation allowBlank="true" error="יש לבחור ערך מהרשימה" errorStyle="stop" errorTitle="ערך לא תקין" operator="between" showDropDown="false" showErrorMessage="false" showInputMessage="false" sqref="Q2:Q199" type="list">
      <formula1>רשימות!$B$2:$B$5</formula1>
      <formula2>0</formula2>
    </dataValidation>
    <dataValidation allowBlank="true" error="יש לבחור ערך מהרשימה" errorStyle="stop" errorTitle="ערך לא תקין" operator="between" showDropDown="false" showErrorMessage="false" showInputMessage="false" sqref="W2:W199" type="list">
      <formula1>רשימות!$C$2:$C$8</formula1>
      <formula2>0</formula2>
    </dataValidation>
    <dataValidation allowBlank="true" error="יש לבחור ערך מהרשימה" errorStyle="stop" errorTitle="ערך לא תקין" operator="between" showDropDown="false" showErrorMessage="false" showInputMessage="false" sqref="Z2:Z199" type="list">
      <formula1>רשימות!$D$2:$D$7</formula1>
      <formula2>0</formula2>
    </dataValidation>
    <dataValidation allowBlank="true" error="יש לבחור ערך מהרשימה" errorStyle="stop" errorTitle="ערך לא תקין" operator="between" showDropDown="false" showErrorMessage="false" showInputMessage="false" sqref="AA2:AA199" type="list">
      <formula1>רשימות!$E$2:$E$4</formula1>
      <formula2>0</formula2>
    </dataValidation>
  </dataValidations>
  <hyperlinks>
    <hyperlink ref="AD2" r:id="rId1" display="מפה"/>
    <hyperlink ref="AE2" r:id="rId2" display="Waze"/>
    <hyperlink ref="AD3" r:id="rId3" display="מפה"/>
    <hyperlink ref="AE3" r:id="rId4" display="Waze"/>
    <hyperlink ref="AD4" r:id="rId5" display="מפה"/>
    <hyperlink ref="AE4" r:id="rId6" display="Waze"/>
    <hyperlink ref="AD5" r:id="rId7" display="מפה"/>
    <hyperlink ref="AE5" r:id="rId8" display="Waze"/>
    <hyperlink ref="AD6" r:id="rId9" display="מפה"/>
    <hyperlink ref="AE6" r:id="rId10" display="Waze"/>
    <hyperlink ref="AD7" r:id="rId11" display="מפה"/>
    <hyperlink ref="AE7" r:id="rId12" display="Waze"/>
    <hyperlink ref="AD8" r:id="rId13" display="מפה"/>
    <hyperlink ref="AE8" r:id="rId14" display="Waze"/>
    <hyperlink ref="AD9" r:id="rId15" display="מפה"/>
    <hyperlink ref="AE9" r:id="rId16" display="Waze"/>
    <hyperlink ref="AD10" r:id="rId17" display="מפה"/>
    <hyperlink ref="AE10" r:id="rId18" display="Waze"/>
    <hyperlink ref="AD11" r:id="rId19" display="מפה"/>
    <hyperlink ref="AE11" r:id="rId20" display="Waze"/>
    <hyperlink ref="AD12" r:id="rId21" display="מפה"/>
    <hyperlink ref="AE12" r:id="rId22" display="Waze"/>
    <hyperlink ref="AD13" r:id="rId23" display="מפה"/>
    <hyperlink ref="AE13" r:id="rId24" display="Waze"/>
    <hyperlink ref="AD14" r:id="rId25" display="מפה"/>
    <hyperlink ref="AE14" r:id="rId26" display="Waze"/>
    <hyperlink ref="AD15" r:id="rId27" display="מפה"/>
    <hyperlink ref="AE15" r:id="rId28" display="Waze"/>
    <hyperlink ref="AD16" r:id="rId29" display="מפה"/>
    <hyperlink ref="AE16" r:id="rId30" display="Waze"/>
    <hyperlink ref="AD17" r:id="rId31" display="מפה"/>
    <hyperlink ref="AE17" r:id="rId32" display="Waze"/>
    <hyperlink ref="AD18" r:id="rId33" display="מפה"/>
    <hyperlink ref="AE18" r:id="rId34" display="Waze"/>
    <hyperlink ref="AD19" r:id="rId35" display="מפה"/>
    <hyperlink ref="AE19" r:id="rId36" display="Waze"/>
    <hyperlink ref="AD20" r:id="rId37" display="מפה"/>
    <hyperlink ref="AE20" r:id="rId38" display="Waze"/>
    <hyperlink ref="AD21" r:id="rId39" display="מפה"/>
    <hyperlink ref="AE21" r:id="rId40" display="Waze"/>
    <hyperlink ref="AD22" r:id="rId41" display="מפה"/>
    <hyperlink ref="AE22" r:id="rId42" display="Waze"/>
    <hyperlink ref="AD23" r:id="rId43" display="מפה"/>
    <hyperlink ref="AE23" r:id="rId44" display="Waze"/>
    <hyperlink ref="AD24" r:id="rId45" display="מפה"/>
    <hyperlink ref="AE24" r:id="rId46" display="Waze"/>
    <hyperlink ref="AD25" r:id="rId47" display="מפה"/>
    <hyperlink ref="AE25" r:id="rId48" display="Waze"/>
    <hyperlink ref="AD26" r:id="rId49" display="מפה"/>
    <hyperlink ref="AE26" r:id="rId50" display="Waze"/>
    <hyperlink ref="AD27" r:id="rId51" display="מפה"/>
    <hyperlink ref="AE27" r:id="rId52" display="Waze"/>
    <hyperlink ref="AD28" r:id="rId53" display="מפה"/>
    <hyperlink ref="AE28" r:id="rId54" display="Waze"/>
    <hyperlink ref="AD29" r:id="rId55" display="מפה"/>
    <hyperlink ref="AE29" r:id="rId56" display="Waze"/>
    <hyperlink ref="AD30" r:id="rId57" display="מפה"/>
    <hyperlink ref="AE30" r:id="rId58" display="Waze"/>
    <hyperlink ref="AD31" r:id="rId59" display="מפה"/>
    <hyperlink ref="AE31" r:id="rId60" display="Waze"/>
    <hyperlink ref="AD32" r:id="rId61" display="מפה"/>
    <hyperlink ref="AE32" r:id="rId62" display="Waze"/>
    <hyperlink ref="AD33" r:id="rId63" display="מפה"/>
    <hyperlink ref="AE33" r:id="rId64" display="Waze"/>
    <hyperlink ref="AD34" r:id="rId65" display="מפה"/>
    <hyperlink ref="AE34" r:id="rId66" display="Waze"/>
    <hyperlink ref="AD35" r:id="rId67" display="מפה"/>
    <hyperlink ref="AE35" r:id="rId68" display="Waze"/>
    <hyperlink ref="AD36" r:id="rId69" display="מפה"/>
    <hyperlink ref="AE36" r:id="rId70" display="Waze"/>
    <hyperlink ref="AD37" r:id="rId71" display="מפה"/>
    <hyperlink ref="AE37" r:id="rId72" display="Waze"/>
    <hyperlink ref="AD38" r:id="rId73" display="מפה"/>
    <hyperlink ref="AE38" r:id="rId74" display="Waze"/>
    <hyperlink ref="AD39" r:id="rId75" display="מפה"/>
    <hyperlink ref="AE39" r:id="rId76" display="Waze"/>
    <hyperlink ref="AD40" r:id="rId77" display="מפה"/>
    <hyperlink ref="AE40" r:id="rId78" display="Waze"/>
    <hyperlink ref="AD41" r:id="rId79" display="מפה"/>
    <hyperlink ref="AE41" r:id="rId80" display="Waze"/>
    <hyperlink ref="AD42" r:id="rId81" display="מפה"/>
    <hyperlink ref="AE42" r:id="rId82" display="Waze"/>
    <hyperlink ref="AD43" r:id="rId83" display="מפה"/>
    <hyperlink ref="AE43" r:id="rId84" display="Waze"/>
    <hyperlink ref="AD44" r:id="rId85" display="מפה"/>
    <hyperlink ref="AE44" r:id="rId86" display="Waze"/>
    <hyperlink ref="AD45" r:id="rId87" display="מפה"/>
    <hyperlink ref="AE45" r:id="rId88" display="Waze"/>
    <hyperlink ref="AD46" r:id="rId89" display="מפה"/>
    <hyperlink ref="AE46" r:id="rId90" display="Waze"/>
    <hyperlink ref="AD47" r:id="rId91" display="מפה"/>
    <hyperlink ref="AE47" r:id="rId92" display="Waze"/>
    <hyperlink ref="AD48" r:id="rId93" display="מפה"/>
    <hyperlink ref="AE48" r:id="rId94" display="Waze"/>
    <hyperlink ref="AD49" r:id="rId95" display="מפה"/>
    <hyperlink ref="AE49" r:id="rId96" display="Waze"/>
    <hyperlink ref="AD50" r:id="rId97" display="מפה"/>
    <hyperlink ref="AE50" r:id="rId98" display="Waze"/>
    <hyperlink ref="AD51" r:id="rId99" display="מפה"/>
    <hyperlink ref="AE51" r:id="rId100" display="Waze"/>
    <hyperlink ref="AD52" r:id="rId101" display="מפה"/>
    <hyperlink ref="AE52" r:id="rId102" display="Waze"/>
    <hyperlink ref="AD53" r:id="rId103" display="מפה"/>
    <hyperlink ref="AE53" r:id="rId104" display="Waze"/>
    <hyperlink ref="AD54" r:id="rId105" display="מפה"/>
    <hyperlink ref="AE54" r:id="rId106" display="Waze"/>
    <hyperlink ref="AD55" r:id="rId107" display="מפה"/>
    <hyperlink ref="AE55" r:id="rId108" display="Waze"/>
    <hyperlink ref="AD56" r:id="rId109" display="מפה"/>
    <hyperlink ref="AE56" r:id="rId110" display="Waze"/>
    <hyperlink ref="AD57" r:id="rId111" display="מפה"/>
    <hyperlink ref="AE57" r:id="rId112" display="Waze"/>
    <hyperlink ref="AD58" r:id="rId113" display="מפה"/>
    <hyperlink ref="AE58" r:id="rId114" display="Waze"/>
    <hyperlink ref="AD59" r:id="rId115" display="מפה"/>
    <hyperlink ref="AE59" r:id="rId116" display="Waze"/>
    <hyperlink ref="AD60" r:id="rId117" display="מפה"/>
    <hyperlink ref="AE60" r:id="rId118" display="Waze"/>
    <hyperlink ref="AD61" r:id="rId119" display="מפה"/>
    <hyperlink ref="AE61" r:id="rId120" display="Waze"/>
    <hyperlink ref="AD62" r:id="rId121" display="מפה"/>
    <hyperlink ref="AE62" r:id="rId122" display="Waze"/>
    <hyperlink ref="AD63" r:id="rId123" display="מפה"/>
    <hyperlink ref="AE63" r:id="rId124" display="Waze"/>
    <hyperlink ref="AD64" r:id="rId125" display="מפה"/>
    <hyperlink ref="AE64" r:id="rId126" display="Waze"/>
    <hyperlink ref="AD65" r:id="rId127" display="מפה"/>
    <hyperlink ref="AE65" r:id="rId128" display="Waze"/>
    <hyperlink ref="AD66" r:id="rId129" display="מפה"/>
    <hyperlink ref="AE66" r:id="rId130" display="Waze"/>
    <hyperlink ref="AD67" r:id="rId131" display="מפה"/>
    <hyperlink ref="AE67" r:id="rId132" display="Waze"/>
    <hyperlink ref="AD68" r:id="rId133" display="מפה"/>
    <hyperlink ref="AE68" r:id="rId134" display="Waze"/>
    <hyperlink ref="AD69" r:id="rId135" display="מפה"/>
    <hyperlink ref="AE69" r:id="rId136" display="Waze"/>
    <hyperlink ref="AD70" r:id="rId137" display="מפה"/>
    <hyperlink ref="AE70" r:id="rId138" display="Waze"/>
    <hyperlink ref="AD71" r:id="rId139" display="מפה"/>
    <hyperlink ref="AE71" r:id="rId140" display="Waze"/>
    <hyperlink ref="AD72" r:id="rId141" display="מפה"/>
    <hyperlink ref="AE72" r:id="rId142" display="Waze"/>
    <hyperlink ref="AD73" r:id="rId143" display="מפה"/>
    <hyperlink ref="AE73" r:id="rId144" display="Waze"/>
    <hyperlink ref="AD74" r:id="rId145" display="מפה"/>
    <hyperlink ref="AE74" r:id="rId146" display="Waze"/>
    <hyperlink ref="AD75" r:id="rId147" display="מפה"/>
    <hyperlink ref="AE75" r:id="rId148" display="Waze"/>
    <hyperlink ref="AD76" r:id="rId149" display="מפה"/>
    <hyperlink ref="AE76" r:id="rId150" display="Waze"/>
    <hyperlink ref="AD77" r:id="rId151" display="מפה"/>
    <hyperlink ref="AE77" r:id="rId152" display="Waze"/>
    <hyperlink ref="AD78" r:id="rId153" display="מפה"/>
    <hyperlink ref="AE78" r:id="rId154" display="Waze"/>
    <hyperlink ref="AD79" r:id="rId155" display="מפה"/>
    <hyperlink ref="AE79" r:id="rId156" display="Waze"/>
    <hyperlink ref="AD80" r:id="rId157" display="מפה"/>
    <hyperlink ref="AE80" r:id="rId158" display="Waze"/>
    <hyperlink ref="AD81" r:id="rId159" display="מפה"/>
    <hyperlink ref="AE81" r:id="rId160" display="Waze"/>
    <hyperlink ref="AD82" r:id="rId161" display="מפה"/>
    <hyperlink ref="AE82" r:id="rId162" display="Waze"/>
    <hyperlink ref="AD83" r:id="rId163" display="מפה"/>
    <hyperlink ref="AE83" r:id="rId164" display="Waze"/>
    <hyperlink ref="AD84" r:id="rId165" display="מפה"/>
    <hyperlink ref="AE84" r:id="rId166" display="Waze"/>
    <hyperlink ref="AD85" r:id="rId167" display="מפה"/>
    <hyperlink ref="AE85" r:id="rId168" display="Waze"/>
    <hyperlink ref="AD86" r:id="rId169" display="מפה"/>
    <hyperlink ref="AE86" r:id="rId170" display="Waze"/>
    <hyperlink ref="AD87" r:id="rId171" display="מפה"/>
    <hyperlink ref="AE87" r:id="rId172" display="Waze"/>
    <hyperlink ref="AD88" r:id="rId173" display="מפה"/>
    <hyperlink ref="AE88" r:id="rId174" display="Waze"/>
    <hyperlink ref="AD89" r:id="rId175" display="מפה"/>
    <hyperlink ref="AE89" r:id="rId176" display="Waze"/>
    <hyperlink ref="AD90" r:id="rId177" display="מפה"/>
    <hyperlink ref="AE90" r:id="rId178" display="Waze"/>
    <hyperlink ref="AD91" r:id="rId179" display="מפה"/>
    <hyperlink ref="AE91" r:id="rId180" display="Waze"/>
    <hyperlink ref="AD92" r:id="rId181" display="מפה"/>
    <hyperlink ref="AE92" r:id="rId182" display="Waze"/>
    <hyperlink ref="AD93" r:id="rId183" display="מפה"/>
    <hyperlink ref="AE93" r:id="rId184" display="Waze"/>
    <hyperlink ref="AD94" r:id="rId185" display="מפה"/>
    <hyperlink ref="AE94" r:id="rId186" display="Waze"/>
    <hyperlink ref="AD95" r:id="rId187" display="מפה"/>
    <hyperlink ref="AE95" r:id="rId188" display="Waze"/>
    <hyperlink ref="AD96" r:id="rId189" display="מפה"/>
    <hyperlink ref="AE96" r:id="rId190" display="Waze"/>
    <hyperlink ref="AD97" r:id="rId191" display="מפה"/>
    <hyperlink ref="AE97" r:id="rId192" display="Waze"/>
    <hyperlink ref="AD98" r:id="rId193" display="מפה"/>
    <hyperlink ref="AE98" r:id="rId194" display="Waze"/>
    <hyperlink ref="AD99" r:id="rId195" display="מפה"/>
    <hyperlink ref="AE99" r:id="rId196" display="Waze"/>
    <hyperlink ref="AD100" r:id="rId197" display="מפה"/>
    <hyperlink ref="AE100" r:id="rId198" display="Waze"/>
    <hyperlink ref="AD101" r:id="rId199" display="מפה"/>
    <hyperlink ref="AE101" r:id="rId200" display="Waze"/>
    <hyperlink ref="AD102" r:id="rId201" display="מפה"/>
    <hyperlink ref="AE102" r:id="rId202" display="Waze"/>
    <hyperlink ref="AD103" r:id="rId203" display="מפה"/>
    <hyperlink ref="AE103" r:id="rId204" display="Waze"/>
    <hyperlink ref="AD104" r:id="rId205" display="מפה"/>
    <hyperlink ref="AE104" r:id="rId206" display="Waze"/>
    <hyperlink ref="AD105" r:id="rId207" display="מפה"/>
    <hyperlink ref="AE105" r:id="rId208" display="Waze"/>
    <hyperlink ref="AD106" r:id="rId209" display="מפה"/>
    <hyperlink ref="AE106" r:id="rId210" display="Waze"/>
    <hyperlink ref="AD107" r:id="rId211" display="מפה"/>
    <hyperlink ref="AE107" r:id="rId212" display="Waze"/>
    <hyperlink ref="AD108" r:id="rId213" display="מפה"/>
    <hyperlink ref="AE108" r:id="rId214" display="Waze"/>
    <hyperlink ref="AD109" r:id="rId215" display="מפה"/>
    <hyperlink ref="AE109" r:id="rId216" display="Waze"/>
    <hyperlink ref="AD110" r:id="rId217" display="מפה"/>
    <hyperlink ref="AE110" r:id="rId218" display="Waze"/>
    <hyperlink ref="AD111" r:id="rId219" display="מפה"/>
    <hyperlink ref="AE111" r:id="rId220" display="Waze"/>
    <hyperlink ref="AD112" r:id="rId221" display="מפה"/>
    <hyperlink ref="AE112" r:id="rId222" display="Waze"/>
    <hyperlink ref="AD113" r:id="rId223" display="מפה"/>
    <hyperlink ref="AE113" r:id="rId224" display="Waze"/>
    <hyperlink ref="AD114" r:id="rId225" display="מפה"/>
    <hyperlink ref="AE114" r:id="rId226" display="Waze"/>
    <hyperlink ref="AD115" r:id="rId227" display="מפה"/>
    <hyperlink ref="AE115" r:id="rId228" display="Waze"/>
    <hyperlink ref="AD116" r:id="rId229" display="מפה"/>
    <hyperlink ref="AE116" r:id="rId230" display="Waze"/>
    <hyperlink ref="AD117" r:id="rId231" display="מפה"/>
    <hyperlink ref="AE117" r:id="rId232" display="Waze"/>
    <hyperlink ref="AD118" r:id="rId233" display="מפה"/>
    <hyperlink ref="AE118" r:id="rId234" display="Waze"/>
    <hyperlink ref="AD119" r:id="rId235" display="מפה"/>
    <hyperlink ref="AE119" r:id="rId236" display="Waze"/>
    <hyperlink ref="AD120" r:id="rId237" display="מפה"/>
    <hyperlink ref="AE120" r:id="rId238" display="Waze"/>
    <hyperlink ref="AD121" r:id="rId239" display="מפה"/>
    <hyperlink ref="AE121" r:id="rId240" display="Waze"/>
    <hyperlink ref="AD122" r:id="rId241" display="מפה"/>
    <hyperlink ref="AE122" r:id="rId242" display="Waze"/>
    <hyperlink ref="AD123" r:id="rId243" display="מפה"/>
    <hyperlink ref="AE123" r:id="rId244" display="Waze"/>
    <hyperlink ref="AD124" r:id="rId245" display="מפה"/>
    <hyperlink ref="AE124" r:id="rId246" display="Waze"/>
    <hyperlink ref="AD125" r:id="rId247" display="מפה"/>
    <hyperlink ref="AE125" r:id="rId248" display="Waze"/>
    <hyperlink ref="AD126" r:id="rId249" display="מפה"/>
    <hyperlink ref="AE126" r:id="rId250" display="Waze"/>
    <hyperlink ref="AD127" r:id="rId251" display="מפה"/>
    <hyperlink ref="AE127" r:id="rId252" display="Waze"/>
    <hyperlink ref="AD128" r:id="rId253" display="מפה"/>
    <hyperlink ref="AE128" r:id="rId254" display="Waze"/>
    <hyperlink ref="AD129" r:id="rId255" display="מפה"/>
    <hyperlink ref="AE129" r:id="rId256" display="Waze"/>
    <hyperlink ref="AD130" r:id="rId257" display="מפה"/>
    <hyperlink ref="AE130" r:id="rId258" display="Waze"/>
    <hyperlink ref="AD131" r:id="rId259" display="מפה"/>
    <hyperlink ref="AE131" r:id="rId260" display="Waze"/>
    <hyperlink ref="AD132" r:id="rId261" display="מפה"/>
    <hyperlink ref="AE132" r:id="rId262" display="Waze"/>
    <hyperlink ref="AD133" r:id="rId263" display="מפה"/>
    <hyperlink ref="AE133" r:id="rId264" display="Waze"/>
    <hyperlink ref="AD134" r:id="rId265" display="מפה"/>
    <hyperlink ref="AE134" r:id="rId266" display="Waze"/>
    <hyperlink ref="AD135" r:id="rId267" display="מפה"/>
    <hyperlink ref="AE135" r:id="rId268" display="Waze"/>
    <hyperlink ref="AD136" r:id="rId269" display="מפה"/>
    <hyperlink ref="AE136" r:id="rId270" display="Waze"/>
    <hyperlink ref="AD137" r:id="rId271" display="מפה"/>
    <hyperlink ref="AE137" r:id="rId272" display="Waze"/>
    <hyperlink ref="AD138" r:id="rId273" display="מפה"/>
    <hyperlink ref="AE138" r:id="rId274" display="Waze"/>
    <hyperlink ref="AD139" r:id="rId275" display="מפה"/>
    <hyperlink ref="AE139" r:id="rId276" display="Waze"/>
    <hyperlink ref="AD140" r:id="rId277" display="מפה"/>
    <hyperlink ref="AE140" r:id="rId278" display="Waze"/>
    <hyperlink ref="AD141" r:id="rId279" display="מפה"/>
    <hyperlink ref="AE141" r:id="rId280" display="Waze"/>
    <hyperlink ref="AD142" r:id="rId281" display="מפה"/>
    <hyperlink ref="AE142" r:id="rId282" display="Waze"/>
    <hyperlink ref="AD143" r:id="rId283" display="מפה"/>
    <hyperlink ref="AE143" r:id="rId284" display="Waze"/>
    <hyperlink ref="AD144" r:id="rId285" display="מפה"/>
    <hyperlink ref="AE144" r:id="rId286" display="Waze"/>
    <hyperlink ref="AD145" r:id="rId287" display="מפה"/>
    <hyperlink ref="AE145" r:id="rId288" display="Waze"/>
    <hyperlink ref="AD146" r:id="rId289" display="מפה"/>
    <hyperlink ref="AE146" r:id="rId290" display="Waze"/>
    <hyperlink ref="AD147" r:id="rId291" display="מפה"/>
    <hyperlink ref="AE147" r:id="rId292" display="Waze"/>
    <hyperlink ref="AD148" r:id="rId293" display="מפה"/>
    <hyperlink ref="AE148" r:id="rId294" display="Waze"/>
    <hyperlink ref="AD149" r:id="rId295" display="מפה"/>
    <hyperlink ref="AE149" r:id="rId296" display="Waze"/>
    <hyperlink ref="AD150" r:id="rId297" display="מפה"/>
    <hyperlink ref="AE150" r:id="rId298" display="Waze"/>
    <hyperlink ref="AD151" r:id="rId299" display="מפה"/>
    <hyperlink ref="AE151" r:id="rId300" display="Waze"/>
    <hyperlink ref="AD152" r:id="rId301" display="מפה"/>
    <hyperlink ref="AE152" r:id="rId302" display="Waze"/>
    <hyperlink ref="AD153" r:id="rId303" display="מפה"/>
    <hyperlink ref="AE153" r:id="rId304" display="Waze"/>
    <hyperlink ref="AD154" r:id="rId305" display="מפה"/>
    <hyperlink ref="AE154" r:id="rId306" display="Waze"/>
    <hyperlink ref="AD155" r:id="rId307" display="מפה"/>
    <hyperlink ref="AE155" r:id="rId308" display="Waze"/>
    <hyperlink ref="AD156" r:id="rId309" display="מפה"/>
    <hyperlink ref="AE156" r:id="rId310" display="Waze"/>
    <hyperlink ref="AD157" r:id="rId311" display="מפה"/>
    <hyperlink ref="AE157" r:id="rId312" display="Waze"/>
    <hyperlink ref="AD158" r:id="rId313" display="מפה"/>
    <hyperlink ref="AE158" r:id="rId314" display="Waze"/>
    <hyperlink ref="AD159" r:id="rId315" display="מפה"/>
    <hyperlink ref="AE159" r:id="rId316" display="Waze"/>
    <hyperlink ref="AD160" r:id="rId317" display="מפה"/>
    <hyperlink ref="AE160" r:id="rId318" display="Waze"/>
    <hyperlink ref="AD161" r:id="rId319" display="מפה"/>
    <hyperlink ref="AE161" r:id="rId320" display="Waze"/>
    <hyperlink ref="AD162" r:id="rId321" display="מפה"/>
    <hyperlink ref="AE162" r:id="rId322" display="Waze"/>
    <hyperlink ref="AD163" r:id="rId323" display="מפה"/>
    <hyperlink ref="AE163" r:id="rId324" display="Waze"/>
    <hyperlink ref="AD164" r:id="rId325" display="מפה"/>
    <hyperlink ref="AE164" r:id="rId326" display="Waze"/>
    <hyperlink ref="AD165" r:id="rId327" display="מפה"/>
    <hyperlink ref="AE165" r:id="rId328" display="Waze"/>
    <hyperlink ref="AD166" r:id="rId329" display="מפה"/>
    <hyperlink ref="AE166" r:id="rId330" display="Waze"/>
    <hyperlink ref="AD167" r:id="rId331" display="מפה"/>
    <hyperlink ref="AE167" r:id="rId332" display="Waze"/>
    <hyperlink ref="AD168" r:id="rId333" display="מפה"/>
    <hyperlink ref="AE168" r:id="rId334" display="Waze"/>
    <hyperlink ref="AD169" r:id="rId335" display="מפה"/>
    <hyperlink ref="AE169" r:id="rId336" display="Waze"/>
    <hyperlink ref="AD170" r:id="rId337" display="מפה"/>
    <hyperlink ref="AE170" r:id="rId338" display="Waze"/>
    <hyperlink ref="AD171" r:id="rId339" display="מפה"/>
    <hyperlink ref="AE171" r:id="rId340" display="Waze"/>
    <hyperlink ref="AD172" r:id="rId341" display="מפה"/>
    <hyperlink ref="AE172" r:id="rId342" display="Waze"/>
    <hyperlink ref="AD173" r:id="rId343" display="מפה"/>
    <hyperlink ref="AE173" r:id="rId344" display="Waze"/>
    <hyperlink ref="AD174" r:id="rId345" display="מפה"/>
    <hyperlink ref="AE174" r:id="rId346" display="Waze"/>
    <hyperlink ref="AD175" r:id="rId347" display="מפה"/>
    <hyperlink ref="AE175" r:id="rId348" display="Waze"/>
    <hyperlink ref="AD176" r:id="rId349" display="מפה"/>
    <hyperlink ref="AE176" r:id="rId350" display="Waze"/>
    <hyperlink ref="AD177" r:id="rId351" display="מפה"/>
    <hyperlink ref="AE177" r:id="rId352" display="Waze"/>
    <hyperlink ref="AD178" r:id="rId353" display="מפה"/>
    <hyperlink ref="AE178" r:id="rId354" display="Waze"/>
    <hyperlink ref="AD179" r:id="rId355" display="מפה"/>
    <hyperlink ref="AE179" r:id="rId356" display="Waze"/>
    <hyperlink ref="AD180" r:id="rId357" display="מפה"/>
    <hyperlink ref="AE180" r:id="rId358" display="Waze"/>
    <hyperlink ref="AD181" r:id="rId359" display="מפה"/>
    <hyperlink ref="AE181" r:id="rId360" display="Waze"/>
    <hyperlink ref="AD182" r:id="rId361" display="מפה"/>
    <hyperlink ref="AE182" r:id="rId362" display="Waze"/>
    <hyperlink ref="AD183" r:id="rId363" display="מפה"/>
    <hyperlink ref="AE183" r:id="rId364" display="Waze"/>
    <hyperlink ref="AD184" r:id="rId365" display="מפה"/>
    <hyperlink ref="AE184" r:id="rId366" display="Waze"/>
    <hyperlink ref="AD185" r:id="rId367" display="מפה"/>
    <hyperlink ref="AE185" r:id="rId368" display="Waze"/>
    <hyperlink ref="AD186" r:id="rId369" display="מפה"/>
    <hyperlink ref="AE186" r:id="rId370" display="Waze"/>
    <hyperlink ref="AD187" r:id="rId371" display="מפה"/>
    <hyperlink ref="AE187" r:id="rId372" display="Waze"/>
    <hyperlink ref="AD188" r:id="rId373" display="מפה"/>
    <hyperlink ref="AE188" r:id="rId374" display="Waze"/>
    <hyperlink ref="AD189" r:id="rId375" display="מפה"/>
    <hyperlink ref="AE189" r:id="rId376" display="Waze"/>
    <hyperlink ref="AD190" r:id="rId377" display="מפה"/>
    <hyperlink ref="AE190" r:id="rId378" display="Waze"/>
    <hyperlink ref="AD191" r:id="rId379" display="מפה"/>
    <hyperlink ref="AE191" r:id="rId380" display="Waze"/>
    <hyperlink ref="AD192" r:id="rId381" display="מפה"/>
    <hyperlink ref="AE192" r:id="rId382" display="Waze"/>
    <hyperlink ref="AD193" r:id="rId383" display="מפה"/>
    <hyperlink ref="AE193" r:id="rId384" display="Waze"/>
    <hyperlink ref="AD194" r:id="rId385" display="מפה"/>
    <hyperlink ref="AE194" r:id="rId386" display="Waze"/>
    <hyperlink ref="AD195" r:id="rId387" display="מפה"/>
    <hyperlink ref="AE195" r:id="rId388" display="Waze"/>
    <hyperlink ref="AD196" r:id="rId389" display="מפה"/>
    <hyperlink ref="AE196" r:id="rId390" display="Waze"/>
    <hyperlink ref="AD197" r:id="rId391" display="מפה"/>
    <hyperlink ref="AE197" r:id="rId392" display="Waze"/>
    <hyperlink ref="AD198" r:id="rId393" display="מפה"/>
    <hyperlink ref="AE198" r:id="rId394" display="Waze"/>
    <hyperlink ref="AD199" r:id="rId395" display="מפה"/>
    <hyperlink ref="AE199" r:id="rId396" display="Waz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9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30"/>
  </cols>
  <sheetData>
    <row r="1" customFormat="false" ht="15" hidden="false" customHeight="false" outlineLevel="0" collapsed="false">
      <c r="A1" s="17" t="s">
        <v>53</v>
      </c>
      <c r="B1" s="17" t="s">
        <v>63</v>
      </c>
      <c r="C1" s="17" t="s">
        <v>69</v>
      </c>
      <c r="D1" s="17" t="s">
        <v>72</v>
      </c>
      <c r="E1" s="17" t="s">
        <v>318</v>
      </c>
    </row>
    <row r="2" customFormat="false" ht="15" hidden="false" customHeight="false" outlineLevel="0" collapsed="false">
      <c r="A2" s="4" t="s">
        <v>319</v>
      </c>
      <c r="B2" s="4" t="s">
        <v>320</v>
      </c>
      <c r="C2" s="4" t="s">
        <v>34</v>
      </c>
      <c r="D2" s="4" t="s">
        <v>321</v>
      </c>
      <c r="E2" s="4" t="s">
        <v>322</v>
      </c>
    </row>
    <row r="3" customFormat="false" ht="15" hidden="false" customHeight="false" outlineLevel="0" collapsed="false">
      <c r="A3" s="4" t="s">
        <v>323</v>
      </c>
      <c r="B3" s="4" t="s">
        <v>324</v>
      </c>
      <c r="C3" s="4" t="s">
        <v>36</v>
      </c>
      <c r="D3" s="4" t="s">
        <v>325</v>
      </c>
      <c r="E3" s="4" t="s">
        <v>326</v>
      </c>
    </row>
    <row r="4" customFormat="false" ht="15" hidden="false" customHeight="false" outlineLevel="0" collapsed="false">
      <c r="A4" s="4" t="s">
        <v>327</v>
      </c>
      <c r="B4" s="4" t="s">
        <v>328</v>
      </c>
      <c r="C4" s="4" t="s">
        <v>38</v>
      </c>
      <c r="D4" s="4" t="s">
        <v>329</v>
      </c>
      <c r="E4" s="4" t="s">
        <v>330</v>
      </c>
    </row>
    <row r="5" customFormat="false" ht="15" hidden="false" customHeight="false" outlineLevel="0" collapsed="false">
      <c r="A5" s="4" t="s">
        <v>331</v>
      </c>
      <c r="B5" s="4" t="s">
        <v>332</v>
      </c>
      <c r="C5" s="4" t="s">
        <v>333</v>
      </c>
      <c r="D5" s="4" t="s">
        <v>334</v>
      </c>
    </row>
    <row r="6" customFormat="false" ht="15" hidden="false" customHeight="false" outlineLevel="0" collapsed="false">
      <c r="A6" s="4" t="s">
        <v>80</v>
      </c>
      <c r="C6" s="4" t="s">
        <v>40</v>
      </c>
      <c r="D6" s="4" t="s">
        <v>335</v>
      </c>
    </row>
    <row r="7" customFormat="false" ht="15" hidden="false" customHeight="false" outlineLevel="0" collapsed="false">
      <c r="A7" s="4" t="s">
        <v>90</v>
      </c>
      <c r="C7" s="4" t="s">
        <v>336</v>
      </c>
      <c r="D7" s="4" t="s">
        <v>337</v>
      </c>
    </row>
    <row r="8" customFormat="false" ht="15" hidden="false" customHeight="false" outlineLevel="0" collapsed="false">
      <c r="A8" s="4" t="s">
        <v>338</v>
      </c>
      <c r="C8" s="4" t="s">
        <v>332</v>
      </c>
    </row>
    <row r="9" customFormat="false" ht="15" hidden="false" customHeight="false" outlineLevel="0" collapsed="false">
      <c r="A9" s="4" t="s">
        <v>332</v>
      </c>
    </row>
    <row r="12" customFormat="false" ht="15" hidden="false" customHeight="false" outlineLevel="0" collapsed="false">
      <c r="A12" s="18" t="s">
        <v>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2026-09-07T22:32:18Z</dcterms:created>
  <dc:creator>openpyxl</dc:creator>
  <dc:description/>
  <dc:language>en-US</dc:language>
  <cp:lastModifiedBy/>
  <dcterms:modified xsi:type="dcterms:W3CDTF">2026-09-07T22:32:19Z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